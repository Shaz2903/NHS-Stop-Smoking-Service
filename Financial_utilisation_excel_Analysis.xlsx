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-stop-smok-serv-finance-eng" sheetId="1" r:id="rId5"/>
  </sheets>
  <definedNames>
    <definedName hidden="1" localSheetId="0" name="_xlnm._FilterDatabase">'stat-stop-smok-serv-finance-eng'!$A$1:$K$164</definedName>
  </definedNames>
  <calcPr/>
</workbook>
</file>

<file path=xl/sharedStrings.xml><?xml version="1.0" encoding="utf-8"?>
<sst xmlns="http://schemas.openxmlformats.org/spreadsheetml/2006/main" count="1157" uniqueCount="347">
  <si>
    <t>FinancialYear</t>
  </si>
  <si>
    <t>OrgType</t>
  </si>
  <si>
    <t>OrgCode</t>
  </si>
  <si>
    <t>OrgName</t>
  </si>
  <si>
    <t>RegionCode</t>
  </si>
  <si>
    <t>RegionName</t>
  </si>
  <si>
    <t>MonitoringCategoryType</t>
  </si>
  <si>
    <t>Allocation for smoking cessation for the year (excluding stop smoking aids)</t>
  </si>
  <si>
    <t>Total spend on delivery of stop smoking services for the year to date</t>
  </si>
  <si>
    <t>Total cost of stop smoking aids for the year to date</t>
  </si>
  <si>
    <t>Other spend on smoking cessation</t>
  </si>
  <si>
    <t>Total SPEND</t>
  </si>
  <si>
    <t>Varience</t>
  </si>
  <si>
    <t>Utilisation %</t>
  </si>
  <si>
    <t>sum of quit</t>
  </si>
  <si>
    <t>Cost/quitter</t>
  </si>
  <si>
    <t>2025-26</t>
  </si>
  <si>
    <t>National</t>
  </si>
  <si>
    <t>E92000001</t>
  </si>
  <si>
    <t>England</t>
  </si>
  <si>
    <t>Finance</t>
  </si>
  <si>
    <t>LARegion</t>
  </si>
  <si>
    <t>E12000001</t>
  </si>
  <si>
    <t>North East</t>
  </si>
  <si>
    <t>E12000002</t>
  </si>
  <si>
    <t>North West</t>
  </si>
  <si>
    <t>E12000003</t>
  </si>
  <si>
    <t>Yorkshire and The Humber</t>
  </si>
  <si>
    <t>E12000004</t>
  </si>
  <si>
    <t>East Midlands</t>
  </si>
  <si>
    <t>E12000005</t>
  </si>
  <si>
    <t>West Midlands</t>
  </si>
  <si>
    <t>E12000006</t>
  </si>
  <si>
    <t>East of England</t>
  </si>
  <si>
    <t>E12000007</t>
  </si>
  <si>
    <t>London</t>
  </si>
  <si>
    <t>E12000008</t>
  </si>
  <si>
    <t>South East</t>
  </si>
  <si>
    <t>E12000009</t>
  </si>
  <si>
    <t>South West</t>
  </si>
  <si>
    <t>LA</t>
  </si>
  <si>
    <t>E06000001</t>
  </si>
  <si>
    <t>Hartlepool</t>
  </si>
  <si>
    <t>E06000002</t>
  </si>
  <si>
    <t>Middlesbrough</t>
  </si>
  <si>
    <t>E06000003</t>
  </si>
  <si>
    <t>Redcar and Cleveland</t>
  </si>
  <si>
    <t>E06000004</t>
  </si>
  <si>
    <t>Stockton-on-Tees</t>
  </si>
  <si>
    <t>E06000005</t>
  </si>
  <si>
    <t>Darlington</t>
  </si>
  <si>
    <t>E06000047</t>
  </si>
  <si>
    <t>County Durham</t>
  </si>
  <si>
    <t>E06000057</t>
  </si>
  <si>
    <t>Northumberland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</si>
  <si>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</si>
  <si>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</si>
  <si>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</si>
  <si>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</si>
  <si>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</si>
  <si>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</si>
  <si>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</si>
  <si>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</si>
  <si>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E08000037</t>
  </si>
  <si>
    <t>Gateshead</t>
  </si>
  <si>
    <t>E06000006</t>
  </si>
  <si>
    <t>Halton</t>
  </si>
  <si>
    <t>E06000007</t>
  </si>
  <si>
    <t>Warrington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</si>
  <si>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</si>
  <si>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</si>
  <si>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</si>
  <si>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</si>
  <si>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</si>
  <si>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</si>
  <si>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</si>
  <si>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</si>
  <si>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E06000063</t>
  </si>
  <si>
    <t>Cumberland</t>
  </si>
  <si>
    <t>E06000064</t>
  </si>
  <si>
    <t>Westmorland and Furness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</si>
  <si>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</si>
  <si>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</si>
  <si>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</si>
  <si>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</si>
  <si>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</si>
  <si>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</si>
  <si>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</si>
  <si>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</si>
  <si>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</si>
  <si>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</si>
  <si>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</si>
  <si>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</si>
  <si>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</si>
  <si>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</si>
  <si>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</si>
  <si>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</si>
  <si>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</si>
  <si>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</si>
  <si>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</si>
  <si>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</si>
  <si>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E08000011</t>
  </si>
  <si>
    <t>Knowsley</t>
  </si>
  <si>
    <t>E08000012</t>
  </si>
  <si>
    <t>Liverpool</t>
  </si>
  <si>
    <t>E08000013</t>
  </si>
  <si>
    <t>St. Helens</t>
  </si>
  <si>
    <t>E08000014</t>
  </si>
  <si>
    <t>Sefton</t>
  </si>
  <si>
    <t>E08000015</t>
  </si>
  <si>
    <t>Wirral</t>
  </si>
  <si>
    <t>E10000017</t>
  </si>
  <si>
    <t>Lancashire</t>
  </si>
  <si>
    <t>E06000010</t>
  </si>
  <si>
    <t>Kingston upon Hull, City of</t>
  </si>
  <si>
    <t>E06000011</t>
  </si>
  <si>
    <t>East Riding of Yorkshire</t>
  </si>
  <si>
    <t>E06000012</t>
  </si>
  <si>
    <t>North East Lincolnshire</t>
  </si>
  <si>
    <t>E06000013</t>
  </si>
  <si>
    <t>North Lincolnshire</t>
  </si>
  <si>
    <t>E06000014</t>
  </si>
  <si>
    <t>York</t>
  </si>
  <si>
    <t>E06000065</t>
  </si>
  <si>
    <t>North Yorkshire</t>
  </si>
  <si>
    <t>E08000017</t>
  </si>
  <si>
    <t>Doncaster</t>
  </si>
  <si>
    <t>E08000018</t>
  </si>
  <si>
    <t>Rotherham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</si>
  <si>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</si>
  <si>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</si>
  <si>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</si>
  <si>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</si>
  <si>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</si>
  <si>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</si>
  <si>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</si>
  <si>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</si>
  <si>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</si>
  <si>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</si>
  <si>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E08000038</t>
  </si>
  <si>
    <t>Barnsley</t>
  </si>
  <si>
    <t>E08000039</t>
  </si>
  <si>
    <t>Sheffield</t>
  </si>
  <si>
    <t>E06000015</t>
  </si>
  <si>
    <t>Derby</t>
  </si>
  <si>
    <t>E06000016</t>
  </si>
  <si>
    <t>Leicester</t>
  </si>
  <si>
    <t>E06000017</t>
  </si>
  <si>
    <t>Rutland</t>
  </si>
  <si>
    <t>E06000018</t>
  </si>
  <si>
    <t>Nottingham</t>
  </si>
  <si>
    <t>E06000061</t>
  </si>
  <si>
    <t>North Northamptonshire</t>
  </si>
  <si>
    <t>E06000062</t>
  </si>
  <si>
    <t>West Northamptonshire</t>
  </si>
  <si>
    <t>E10000007</t>
  </si>
  <si>
    <t>Derbyshire</t>
  </si>
  <si>
    <t>E10000018</t>
  </si>
  <si>
    <t>Leicestershire</t>
  </si>
  <si>
    <t>E10000019</t>
  </si>
  <si>
    <t>Lincolnshire</t>
  </si>
  <si>
    <t>E10000024</t>
  </si>
  <si>
    <t>Nottinghamshire</t>
  </si>
  <si>
    <t>E06000019</t>
  </si>
  <si>
    <t>Herefordshire, County of</t>
  </si>
  <si>
    <t>E06000020</t>
  </si>
  <si>
    <t>Telford and Wrekin</t>
  </si>
  <si>
    <t>E06000021</t>
  </si>
  <si>
    <t>Stoke-on-Trent</t>
  </si>
  <si>
    <t>E06000051</t>
  </si>
  <si>
    <t>Shropshire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</si>
  <si>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</si>
  <si>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</si>
  <si>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</si>
  <si>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</si>
  <si>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</si>
  <si>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</si>
  <si>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</si>
  <si>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</si>
  <si>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</si>
  <si>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</si>
  <si>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</si>
  <si>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</si>
  <si>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</si>
  <si>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</si>
  <si>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E10000028</t>
  </si>
  <si>
    <t>Staffordshire</t>
  </si>
  <si>
    <t>E10000031</t>
  </si>
  <si>
    <t>Warwickshire</t>
  </si>
  <si>
    <t>E10000034</t>
  </si>
  <si>
    <t>Worcestershire</t>
  </si>
  <si>
    <t>E06000031</t>
  </si>
  <si>
    <t>Peterborough</t>
  </si>
  <si>
    <t>E06000032</t>
  </si>
  <si>
    <t>Luton</t>
  </si>
  <si>
    <t>E06000033</t>
  </si>
  <si>
    <t>Southend-on-Sea</t>
  </si>
  <si>
    <t>E06000034</t>
  </si>
  <si>
    <t>Thurrock</t>
  </si>
  <si>
    <t>E06000055</t>
  </si>
  <si>
    <t>Bedford</t>
  </si>
  <si>
    <t>E06000056</t>
  </si>
  <si>
    <t>Central Bedfordshire</t>
  </si>
  <si>
    <t>E10000003</t>
  </si>
  <si>
    <t>Cambridgeshire</t>
  </si>
  <si>
    <t>E10000012</t>
  </si>
  <si>
    <t>Essex</t>
  </si>
  <si>
    <t>E10000015</t>
  </si>
  <si>
    <t>Hertfordshire</t>
  </si>
  <si>
    <t>E10000020</t>
  </si>
  <si>
    <t>Norfolk</t>
  </si>
  <si>
    <t>E10000029</t>
  </si>
  <si>
    <t>Suffolk</t>
  </si>
  <si>
    <t>E09000001</t>
  </si>
  <si>
    <t>City of 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</si>
  <si>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</si>
  <si>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</si>
  <si>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</si>
  <si>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</si>
  <si>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</si>
  <si>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</si>
  <si>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</si>
  <si>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</si>
  <si>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</si>
  <si>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</si>
  <si>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</si>
  <si>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</si>
  <si>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</si>
  <si>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</si>
  <si>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</si>
  <si>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</si>
  <si>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</si>
  <si>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</si>
  <si>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</si>
  <si>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</si>
  <si>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</si>
  <si>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</si>
  <si>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</si>
  <si>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</si>
  <si>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</si>
  <si>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</si>
  <si>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</si>
  <si>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</si>
  <si>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</si>
  <si>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</si>
  <si>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</si>
  <si>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</si>
  <si>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</si>
  <si>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</si>
  <si>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</si>
  <si>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</si>
  <si>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</si>
  <si>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</si>
  <si>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</si>
  <si>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</si>
  <si>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</si>
  <si>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</si>
  <si>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</si>
  <si>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</si>
  <si>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</si>
  <si>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</si>
  <si>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</si>
  <si>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</si>
  <si>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</si>
  <si>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</si>
  <si>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</si>
  <si>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</si>
  <si>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</si>
  <si>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</si>
  <si>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</si>
  <si>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</si>
  <si>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</si>
  <si>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</si>
  <si>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</si>
  <si>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</si>
  <si>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</si>
  <si>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</si>
  <si>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</si>
  <si>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</si>
  <si>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E06000035</t>
  </si>
  <si>
    <t>Medway</t>
  </si>
  <si>
    <t>E06000036</t>
  </si>
  <si>
    <t>Bracknell Forest</t>
  </si>
  <si>
    <t>E06000037</t>
  </si>
  <si>
    <t>West Berkshire</t>
  </si>
  <si>
    <t>E06000038</t>
  </si>
  <si>
    <t>Reading</t>
  </si>
  <si>
    <t>E06000039</t>
  </si>
  <si>
    <t>Slough</t>
  </si>
  <si>
    <t>E06000040</t>
  </si>
  <si>
    <t>Windsor and Maidenhead</t>
  </si>
  <si>
    <t>E06000041</t>
  </si>
  <si>
    <t>Wokingham</t>
  </si>
  <si>
    <t>E06000042</t>
  </si>
  <si>
    <t>Milton Keynes</t>
  </si>
  <si>
    <t>E06000043</t>
  </si>
  <si>
    <t>Brighton and Hove</t>
  </si>
  <si>
    <t>E06000044</t>
  </si>
  <si>
    <t>Portsmouth</t>
  </si>
  <si>
    <t>E06000045</t>
  </si>
  <si>
    <t>Southampton</t>
  </si>
  <si>
    <t>E06000046</t>
  </si>
  <si>
    <t>Isle of Wight</t>
  </si>
  <si>
    <t>E06000060</t>
  </si>
  <si>
    <t>Buckinghamshire</t>
  </si>
  <si>
    <t>E10000011</t>
  </si>
  <si>
    <t>East Sussex</t>
  </si>
  <si>
    <t>E10000014</t>
  </si>
  <si>
    <t>Hampshire</t>
  </si>
  <si>
    <t>E10000016</t>
  </si>
  <si>
    <t>Kent</t>
  </si>
  <si>
    <t>E10000025</t>
  </si>
  <si>
    <t>Oxfordshire</t>
  </si>
  <si>
    <t>E10000030</t>
  </si>
  <si>
    <t>Surrey</t>
  </si>
  <si>
    <t>E10000032</t>
  </si>
  <si>
    <t>West Sussex</t>
  </si>
  <si>
    <t>E06000022</t>
  </si>
  <si>
    <t>Bath and North East Somerset</t>
  </si>
  <si>
    <t>E06000023</t>
  </si>
  <si>
    <t>Bristol, City of</t>
  </si>
  <si>
    <t>E06000024</t>
  </si>
  <si>
    <t>North Somerset</t>
  </si>
  <si>
    <t>E06000025</t>
  </si>
  <si>
    <t>South Gloucestershire</t>
  </si>
  <si>
    <t>E06000026</t>
  </si>
  <si>
    <t>Plymouth</t>
  </si>
  <si>
    <t>E06000027</t>
  </si>
  <si>
    <t>Torbay</t>
  </si>
  <si>
    <t>E06000030</t>
  </si>
  <si>
    <t>Swindon</t>
  </si>
  <si>
    <t>E06000052</t>
  </si>
  <si>
    <t>Cornwall</t>
  </si>
  <si>
    <t>E06000053</t>
  </si>
  <si>
    <t>Isles of Scilly</t>
  </si>
  <si>
    <t>E06000054</t>
  </si>
  <si>
    <t>Wiltshire</t>
  </si>
  <si>
    <t>E06000058</t>
  </si>
  <si>
    <t>Bournemouth, Christchurch and Poole</t>
  </si>
  <si>
    <t>E06000059</t>
  </si>
  <si>
    <t>Dorset</t>
  </si>
  <si>
    <t>E06000066</t>
  </si>
  <si>
    <t>Somerset</t>
  </si>
  <si>
    <t>E10000008</t>
  </si>
  <si>
    <t>Devon</t>
  </si>
  <si>
    <t>E10000013</t>
  </si>
  <si>
    <t>Gloucestershire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</si>
</sst>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0" fontId="1" numFmtId="0" xfId="0" applyBorder="1" applyFont="1"/>
    <xf borderId="1" fillId="0" fontId="1" numFmtId="2" xfId="0" applyBorder="1" applyFont="1" applyNumberFormat="1"/>
    <xf borderId="1" fillId="3" fontId="3" numFmtId="0" xfId="0" applyAlignment="1" applyBorder="1" applyFill="1" applyFont="1">
      <alignment horizontal="right" vertical="bottom"/>
    </xf>
    <xf borderId="1" fillId="0" fontId="1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Budget Utilisation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'stat-stop-smok-serv-finance-eng'!$D$1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'stat-stop-smok-serv-finance-eng'!$D$2:$D$1000</c:f>
              <c:numCache/>
            </c:numRef>
          </c:val>
        </c:ser>
        <c:ser>
          <c:idx val="1"/>
          <c:order val="1"/>
          <c:tx>
            <c:strRef>
              <c:f>'stat-stop-smok-serv-finance-eng'!$N$1</c:f>
            </c:strRef>
          </c:tx>
          <c:invertIfNegative val="0"/>
          <c:val>
            <c:numRef>
              <c:f>'stat-stop-smok-serv-finance-eng'!$N$2:$N$1000</c:f>
              <c:numCache/>
            </c:numRef>
          </c:val>
        </c:ser>
        <c:axId val="156347537"/>
        <c:axId val="900430737"/>
      </c:bar3DChart>
      <c:catAx>
        <c:axId val="1563475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0430737"/>
      </c:catAx>
      <c:valAx>
        <c:axId val="9004307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3475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164</xdr:row>
      <xdr:rowOff>142875</xdr:rowOff>
    </xdr:from>
    <xdr:ext cx="3952875" cy="2438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0"/>
    <col customWidth="1" min="10" max="10" width="0.38"/>
    <col customWidth="1" min="11" max="11" width="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18</v>
      </c>
      <c r="F2" s="1" t="s">
        <v>19</v>
      </c>
      <c r="G2" s="1" t="s">
        <v>20</v>
      </c>
      <c r="H2" s="1">
        <v>1.01806974E8</v>
      </c>
      <c r="I2" s="1">
        <v>7.7944678E7</v>
      </c>
      <c r="J2" s="1">
        <v>2.1480113E7</v>
      </c>
      <c r="K2" s="1">
        <v>8248115.0</v>
      </c>
      <c r="L2" s="3">
        <f>I2+J2+K2</f>
        <v>107672906</v>
      </c>
      <c r="M2" s="3">
        <f>L2-H2</f>
        <v>5865932</v>
      </c>
      <c r="N2" s="4">
        <f>(L2/H2)*100</f>
        <v>105.7618175</v>
      </c>
      <c r="O2" s="5">
        <v>141062.0</v>
      </c>
      <c r="P2" s="6">
        <f>L2/O2</f>
        <v>763.3019949</v>
      </c>
    </row>
    <row r="3" hidden="1">
      <c r="A3" s="1" t="s">
        <v>16</v>
      </c>
      <c r="B3" s="1" t="s">
        <v>21</v>
      </c>
      <c r="C3" s="1" t="s">
        <v>22</v>
      </c>
      <c r="D3" s="1" t="s">
        <v>23</v>
      </c>
      <c r="E3" s="1" t="s">
        <v>22</v>
      </c>
      <c r="F3" s="1" t="s">
        <v>23</v>
      </c>
      <c r="G3" s="1" t="s">
        <v>20</v>
      </c>
      <c r="H3" s="1">
        <v>7028098.0</v>
      </c>
      <c r="I3" s="1">
        <v>4845474.0</v>
      </c>
      <c r="J3" s="1">
        <v>1617938.0</v>
      </c>
      <c r="K3" s="1">
        <v>609921.0</v>
      </c>
      <c r="L3" s="3"/>
      <c r="M3" s="3"/>
      <c r="N3" s="3"/>
      <c r="O3" s="3"/>
      <c r="P3" s="3"/>
    </row>
    <row r="4" hidden="1">
      <c r="A4" s="1" t="s">
        <v>16</v>
      </c>
      <c r="B4" s="1" t="s">
        <v>21</v>
      </c>
      <c r="C4" s="1" t="s">
        <v>24</v>
      </c>
      <c r="D4" s="1" t="s">
        <v>25</v>
      </c>
      <c r="E4" s="1" t="s">
        <v>24</v>
      </c>
      <c r="F4" s="1" t="s">
        <v>25</v>
      </c>
      <c r="G4" s="1" t="s">
        <v>20</v>
      </c>
      <c r="H4" s="1">
        <v>1.4219653E7</v>
      </c>
      <c r="I4" s="1">
        <v>1.1985747E7</v>
      </c>
      <c r="J4" s="1">
        <v>3576173.0</v>
      </c>
      <c r="K4" s="1">
        <v>885574.0</v>
      </c>
      <c r="L4" s="3"/>
      <c r="M4" s="3"/>
      <c r="N4" s="3"/>
      <c r="O4" s="3"/>
      <c r="P4" s="3"/>
    </row>
    <row r="5" hidden="1">
      <c r="A5" s="1" t="s">
        <v>16</v>
      </c>
      <c r="B5" s="1" t="s">
        <v>21</v>
      </c>
      <c r="C5" s="1" t="s">
        <v>26</v>
      </c>
      <c r="D5" s="1" t="s">
        <v>27</v>
      </c>
      <c r="E5" s="1" t="s">
        <v>26</v>
      </c>
      <c r="F5" s="1" t="s">
        <v>27</v>
      </c>
      <c r="G5" s="1" t="s">
        <v>20</v>
      </c>
      <c r="H5" s="1">
        <v>8042827.0</v>
      </c>
      <c r="I5" s="1">
        <v>5936881.0</v>
      </c>
      <c r="J5" s="1">
        <v>1690839.0</v>
      </c>
      <c r="K5" s="1">
        <v>1037660.0</v>
      </c>
      <c r="L5" s="3"/>
      <c r="M5" s="3"/>
      <c r="N5" s="3"/>
      <c r="O5" s="3"/>
      <c r="P5" s="3"/>
    </row>
    <row r="6" hidden="1">
      <c r="A6" s="1" t="s">
        <v>16</v>
      </c>
      <c r="B6" s="1" t="s">
        <v>21</v>
      </c>
      <c r="C6" s="1" t="s">
        <v>28</v>
      </c>
      <c r="D6" s="1" t="s">
        <v>29</v>
      </c>
      <c r="E6" s="1" t="s">
        <v>28</v>
      </c>
      <c r="F6" s="1" t="s">
        <v>29</v>
      </c>
      <c r="G6" s="1" t="s">
        <v>20</v>
      </c>
      <c r="H6" s="1">
        <v>1.0638562E7</v>
      </c>
      <c r="I6" s="1">
        <v>8032513.0</v>
      </c>
      <c r="J6" s="1">
        <v>1748274.0</v>
      </c>
      <c r="K6" s="1">
        <v>752056.0</v>
      </c>
      <c r="L6" s="3"/>
      <c r="M6" s="3"/>
      <c r="N6" s="3"/>
      <c r="O6" s="3"/>
      <c r="P6" s="3"/>
    </row>
    <row r="7" hidden="1">
      <c r="A7" s="1" t="s">
        <v>16</v>
      </c>
      <c r="B7" s="1" t="s">
        <v>21</v>
      </c>
      <c r="C7" s="1" t="s">
        <v>30</v>
      </c>
      <c r="D7" s="1" t="s">
        <v>31</v>
      </c>
      <c r="E7" s="1" t="s">
        <v>30</v>
      </c>
      <c r="F7" s="1" t="s">
        <v>31</v>
      </c>
      <c r="G7" s="1" t="s">
        <v>20</v>
      </c>
      <c r="H7" s="1">
        <v>1.064604E7</v>
      </c>
      <c r="I7" s="1">
        <v>7257496.0</v>
      </c>
      <c r="J7" s="1">
        <v>1514805.0</v>
      </c>
      <c r="K7" s="1">
        <v>751908.0</v>
      </c>
      <c r="L7" s="3"/>
      <c r="M7" s="3"/>
      <c r="N7" s="3"/>
      <c r="O7" s="3"/>
      <c r="P7" s="3"/>
    </row>
    <row r="8" hidden="1">
      <c r="A8" s="1" t="s">
        <v>16</v>
      </c>
      <c r="B8" s="1" t="s">
        <v>21</v>
      </c>
      <c r="C8" s="1" t="s">
        <v>32</v>
      </c>
      <c r="D8" s="1" t="s">
        <v>33</v>
      </c>
      <c r="E8" s="1" t="s">
        <v>32</v>
      </c>
      <c r="F8" s="1" t="s">
        <v>33</v>
      </c>
      <c r="G8" s="1" t="s">
        <v>20</v>
      </c>
      <c r="H8" s="1">
        <v>9345454.0</v>
      </c>
      <c r="I8" s="1">
        <v>6822521.0</v>
      </c>
      <c r="J8" s="1">
        <v>3157657.0</v>
      </c>
      <c r="K8" s="1">
        <v>696850.0</v>
      </c>
      <c r="L8" s="3"/>
      <c r="M8" s="3"/>
      <c r="N8" s="3"/>
      <c r="O8" s="3"/>
      <c r="P8" s="3"/>
    </row>
    <row r="9" hidden="1">
      <c r="A9" s="1" t="s">
        <v>16</v>
      </c>
      <c r="B9" s="1" t="s">
        <v>21</v>
      </c>
      <c r="C9" s="1" t="s">
        <v>34</v>
      </c>
      <c r="D9" s="1" t="s">
        <v>35</v>
      </c>
      <c r="E9" s="1" t="s">
        <v>34</v>
      </c>
      <c r="F9" s="1" t="s">
        <v>35</v>
      </c>
      <c r="G9" s="1" t="s">
        <v>20</v>
      </c>
      <c r="H9" s="1">
        <v>1.4498238E7</v>
      </c>
      <c r="I9" s="1">
        <v>1.1973691E7</v>
      </c>
      <c r="J9" s="1">
        <v>3273754.0</v>
      </c>
      <c r="K9" s="1">
        <v>793484.0</v>
      </c>
      <c r="L9" s="3"/>
      <c r="M9" s="3"/>
      <c r="N9" s="3"/>
      <c r="O9" s="3"/>
      <c r="P9" s="3"/>
    </row>
    <row r="10">
      <c r="A10" s="1" t="s">
        <v>16</v>
      </c>
      <c r="B10" s="1" t="s">
        <v>21</v>
      </c>
      <c r="C10" s="1" t="s">
        <v>36</v>
      </c>
      <c r="D10" s="1" t="s">
        <v>37</v>
      </c>
      <c r="E10" s="1" t="s">
        <v>36</v>
      </c>
      <c r="F10" s="1" t="s">
        <v>37</v>
      </c>
      <c r="G10" s="1" t="s">
        <v>20</v>
      </c>
      <c r="H10" s="1">
        <v>1.6994686E7</v>
      </c>
      <c r="I10" s="1">
        <v>1.2748909E7</v>
      </c>
      <c r="J10" s="1">
        <v>2985491.0</v>
      </c>
      <c r="K10" s="1">
        <v>1306178.0</v>
      </c>
      <c r="L10" s="3">
        <f>I10+J10+K10</f>
        <v>17040578</v>
      </c>
      <c r="M10" s="3">
        <f>L10-H10</f>
        <v>45892</v>
      </c>
      <c r="N10" s="4">
        <f>(L10/H10)*100</f>
        <v>100.2700374</v>
      </c>
      <c r="O10" s="5">
        <v>21349.0</v>
      </c>
      <c r="P10" s="6">
        <f>L10/O10</f>
        <v>798.1909223</v>
      </c>
    </row>
    <row r="11" hidden="1">
      <c r="A11" s="1" t="s">
        <v>16</v>
      </c>
      <c r="B11" s="1" t="s">
        <v>21</v>
      </c>
      <c r="C11" s="1" t="s">
        <v>38</v>
      </c>
      <c r="D11" s="1" t="s">
        <v>39</v>
      </c>
      <c r="E11" s="1" t="s">
        <v>38</v>
      </c>
      <c r="F11" s="1" t="s">
        <v>39</v>
      </c>
      <c r="G11" s="1" t="s">
        <v>20</v>
      </c>
      <c r="H11" s="1">
        <v>1.0393416E7</v>
      </c>
      <c r="I11" s="1">
        <v>8341446.0</v>
      </c>
      <c r="J11" s="1">
        <v>1915182.0</v>
      </c>
      <c r="K11" s="1">
        <v>1414484.0</v>
      </c>
      <c r="L11" s="3"/>
      <c r="M11" s="3"/>
      <c r="N11" s="3"/>
      <c r="O11" s="3"/>
      <c r="P11" s="3"/>
    </row>
    <row r="12" hidden="1">
      <c r="A12" s="1" t="s">
        <v>16</v>
      </c>
      <c r="B12" s="1" t="s">
        <v>40</v>
      </c>
      <c r="C12" s="1" t="s">
        <v>41</v>
      </c>
      <c r="D12" s="1" t="s">
        <v>42</v>
      </c>
      <c r="E12" s="1" t="s">
        <v>22</v>
      </c>
      <c r="F12" s="1" t="s">
        <v>23</v>
      </c>
      <c r="G12" s="1" t="s">
        <v>20</v>
      </c>
      <c r="H12" s="1">
        <v>182249.0</v>
      </c>
      <c r="I12" s="1">
        <v>182249.0</v>
      </c>
      <c r="J12" s="1">
        <v>0.0</v>
      </c>
      <c r="K12" s="1">
        <v>11160.0</v>
      </c>
      <c r="L12" s="3"/>
      <c r="M12" s="3"/>
      <c r="N12" s="3"/>
      <c r="O12" s="3"/>
      <c r="P12" s="3"/>
    </row>
    <row r="13" hidden="1">
      <c r="A13" s="1" t="s">
        <v>16</v>
      </c>
      <c r="B13" s="1" t="s">
        <v>40</v>
      </c>
      <c r="C13" s="1" t="s">
        <v>43</v>
      </c>
      <c r="D13" s="1" t="s">
        <v>44</v>
      </c>
      <c r="E13" s="1" t="s">
        <v>22</v>
      </c>
      <c r="F13" s="1" t="s">
        <v>23</v>
      </c>
      <c r="G13" s="1" t="s">
        <v>20</v>
      </c>
      <c r="H13" s="1">
        <v>494581.0</v>
      </c>
      <c r="I13" s="1">
        <v>288512.0</v>
      </c>
      <c r="J13" s="1">
        <v>84492.0</v>
      </c>
      <c r="K13" s="1">
        <v>112300.0</v>
      </c>
      <c r="L13" s="3"/>
      <c r="M13" s="3"/>
      <c r="N13" s="3"/>
      <c r="O13" s="3"/>
      <c r="P13" s="3"/>
    </row>
    <row r="14" hidden="1">
      <c r="A14" s="1" t="s">
        <v>16</v>
      </c>
      <c r="B14" s="1" t="s">
        <v>40</v>
      </c>
      <c r="C14" s="1" t="s">
        <v>45</v>
      </c>
      <c r="D14" s="1" t="s">
        <v>46</v>
      </c>
      <c r="E14" s="1" t="s">
        <v>22</v>
      </c>
      <c r="F14" s="1" t="s">
        <v>23</v>
      </c>
      <c r="G14" s="1" t="s">
        <v>20</v>
      </c>
      <c r="H14" s="1">
        <v>388968.0</v>
      </c>
      <c r="I14" s="1">
        <v>267360.0</v>
      </c>
      <c r="J14" s="1">
        <v>61427.0</v>
      </c>
      <c r="K14" s="1">
        <v>51342.0</v>
      </c>
      <c r="L14" s="3"/>
      <c r="M14" s="3"/>
      <c r="N14" s="3"/>
      <c r="O14" s="3"/>
      <c r="P14" s="3"/>
    </row>
    <row r="15" hidden="1">
      <c r="A15" s="1" t="s">
        <v>16</v>
      </c>
      <c r="B15" s="1" t="s">
        <v>40</v>
      </c>
      <c r="C15" s="1" t="s">
        <v>47</v>
      </c>
      <c r="D15" s="1" t="s">
        <v>48</v>
      </c>
      <c r="E15" s="1" t="s">
        <v>22</v>
      </c>
      <c r="F15" s="1" t="s">
        <v>23</v>
      </c>
      <c r="G15" s="1" t="s">
        <v>20</v>
      </c>
      <c r="H15" s="1">
        <v>564849.0</v>
      </c>
      <c r="I15" s="1">
        <v>564849.0</v>
      </c>
      <c r="J15" s="1">
        <v>0.0</v>
      </c>
      <c r="K15" s="1">
        <v>0.0</v>
      </c>
      <c r="L15" s="3"/>
      <c r="M15" s="3"/>
      <c r="N15" s="3"/>
      <c r="O15" s="3"/>
      <c r="P15" s="3"/>
    </row>
    <row r="16" hidden="1">
      <c r="A16" s="1" t="s">
        <v>16</v>
      </c>
      <c r="B16" s="1" t="s">
        <v>40</v>
      </c>
      <c r="C16" s="1" t="s">
        <v>49</v>
      </c>
      <c r="D16" s="1" t="s">
        <v>50</v>
      </c>
      <c r="E16" s="1" t="s">
        <v>22</v>
      </c>
      <c r="F16" s="1" t="s">
        <v>23</v>
      </c>
      <c r="G16" s="1" t="s">
        <v>20</v>
      </c>
      <c r="H16" s="1">
        <v>164580.0</v>
      </c>
      <c r="I16" s="1">
        <v>120491.0</v>
      </c>
      <c r="J16" s="1">
        <v>11892.0</v>
      </c>
      <c r="K16" s="1">
        <v>32197.0</v>
      </c>
      <c r="L16" s="3"/>
      <c r="M16" s="3"/>
      <c r="N16" s="3"/>
      <c r="O16" s="3"/>
      <c r="P16" s="3"/>
    </row>
    <row r="17" hidden="1">
      <c r="A17" s="1" t="s">
        <v>16</v>
      </c>
      <c r="B17" s="1" t="s">
        <v>40</v>
      </c>
      <c r="C17" s="1" t="s">
        <v>51</v>
      </c>
      <c r="D17" s="1" t="s">
        <v>52</v>
      </c>
      <c r="E17" s="1" t="s">
        <v>22</v>
      </c>
      <c r="F17" s="1" t="s">
        <v>23</v>
      </c>
      <c r="G17" s="1" t="s">
        <v>20</v>
      </c>
      <c r="H17" s="1">
        <v>2546592.0</v>
      </c>
      <c r="I17" s="1">
        <v>1790133.0</v>
      </c>
      <c r="J17" s="1">
        <v>530598.0</v>
      </c>
      <c r="K17" s="1">
        <v>7000.0</v>
      </c>
      <c r="L17" s="3"/>
      <c r="M17" s="3"/>
      <c r="N17" s="3"/>
      <c r="O17" s="3"/>
      <c r="P17" s="3"/>
    </row>
    <row r="18" hidden="1">
      <c r="A18" s="1" t="s">
        <v>16</v>
      </c>
      <c r="B18" s="1" t="s">
        <v>40</v>
      </c>
      <c r="C18" s="1" t="s">
        <v>53</v>
      </c>
      <c r="D18" s="1" t="s">
        <v>54</v>
      </c>
      <c r="E18" s="1" t="s">
        <v>22</v>
      </c>
      <c r="F18" s="1" t="s">
        <v>23</v>
      </c>
      <c r="G18" s="1" t="s">
        <v>20</v>
      </c>
      <c r="H18" s="1">
        <v>396094.0</v>
      </c>
      <c r="I18" s="1">
        <v>399218.0</v>
      </c>
      <c r="J18" s="1">
        <v>174613.0</v>
      </c>
      <c r="K18" s="1">
        <v>36997.0</v>
      </c>
      <c r="L18" s="3"/>
      <c r="M18" s="3"/>
      <c r="N18" s="3"/>
      <c r="O18" s="3"/>
      <c r="P18" s="3"/>
    </row>
    <row r="19" hidden="1">
      <c r="A19" s="1" t="s">
        <v>16</v>
      </c>
      <c r="B19" s="1" t="s">
        <v>40</v>
      </c>
      <c r="C19" s="1" t="s">
        <v>55</v>
      </c>
      <c r="D19" s="1" t="s">
        <v>56</v>
      </c>
      <c r="E19" s="1" t="s">
        <v>22</v>
      </c>
      <c r="F19" s="1" t="s">
        <v>23</v>
      </c>
      <c r="G19" s="1" t="s">
        <v>20</v>
      </c>
      <c r="H19" s="1">
        <v>377380.0</v>
      </c>
      <c r="I19" s="1">
        <v>280000.0</v>
      </c>
      <c r="J19" s="1">
        <v>200473.0</v>
      </c>
      <c r="K19" s="1">
        <v>147682.0</v>
      </c>
      <c r="L19" s="3"/>
      <c r="M19" s="3"/>
      <c r="N19" s="3"/>
      <c r="O19" s="3"/>
      <c r="P19" s="3"/>
    </row>
    <row r="20" hidden="1">
      <c r="A20" s="1" t="s">
        <v>16</v>
      </c>
      <c r="B20" s="1" t="s">
        <v>40</v>
      </c>
      <c r="C20" s="1" t="s">
        <v>57</v>
      </c>
      <c r="D20" s="1" t="s">
        <v>58</v>
      </c>
      <c r="E20" s="1" t="s">
        <v>22</v>
      </c>
      <c r="F20" s="1" t="s">
        <v>23</v>
      </c>
      <c r="G20" s="1" t="s">
        <v>20</v>
      </c>
      <c r="H20" s="1">
        <v>451146.0</v>
      </c>
      <c r="I20" s="1">
        <v>285956.0</v>
      </c>
      <c r="J20" s="1">
        <v>116901.0</v>
      </c>
      <c r="K20" s="1">
        <v>0.0</v>
      </c>
      <c r="L20" s="3"/>
      <c r="M20" s="3"/>
      <c r="N20" s="3"/>
      <c r="O20" s="3"/>
      <c r="P20" s="3"/>
    </row>
    <row r="21" hidden="1">
      <c r="A21" s="1" t="s">
        <v>16</v>
      </c>
      <c r="B21" s="1" t="s">
        <v>40</v>
      </c>
      <c r="C21" s="1" t="s">
        <v>59</v>
      </c>
      <c r="D21" s="1" t="s">
        <v>60</v>
      </c>
      <c r="E21" s="1" t="s">
        <v>22</v>
      </c>
      <c r="F21" s="1" t="s">
        <v>23</v>
      </c>
      <c r="G21" s="1" t="s">
        <v>20</v>
      </c>
      <c r="H21" s="1">
        <v>299000.0</v>
      </c>
      <c r="I21" s="1">
        <v>102762.0</v>
      </c>
      <c r="J21" s="1">
        <v>131824.0</v>
      </c>
      <c r="K21" s="1">
        <v>122800.0</v>
      </c>
      <c r="L21" s="3"/>
      <c r="M21" s="3"/>
      <c r="N21" s="3"/>
      <c r="O21" s="3"/>
      <c r="P21" s="3"/>
    </row>
    <row r="22" hidden="1">
      <c r="A22" s="1" t="s">
        <v>16</v>
      </c>
      <c r="B22" s="1" t="s">
        <v>40</v>
      </c>
      <c r="C22" s="1" t="s">
        <v>61</v>
      </c>
      <c r="D22" s="1" t="s">
        <v>62</v>
      </c>
      <c r="E22" s="1" t="s">
        <v>22</v>
      </c>
      <c r="F22" s="1" t="s">
        <v>23</v>
      </c>
      <c r="G22" s="1" t="s">
        <v>20</v>
      </c>
      <c r="H22" s="1">
        <v>977939.0</v>
      </c>
      <c r="I22" s="1">
        <v>516873.0</v>
      </c>
      <c r="J22" s="1">
        <v>278158.0</v>
      </c>
      <c r="K22" s="1">
        <v>88443.0</v>
      </c>
      <c r="L22" s="3"/>
      <c r="M22" s="3"/>
      <c r="N22" s="3"/>
      <c r="O22" s="3"/>
      <c r="P22" s="3"/>
    </row>
    <row r="23" hidden="1">
      <c r="A23" s="1" t="s">
        <v>16</v>
      </c>
      <c r="B23" s="1" t="s">
        <v>40</v>
      </c>
      <c r="C23" s="1" t="s">
        <v>63</v>
      </c>
      <c r="D23" s="1" t="s">
        <v>64</v>
      </c>
      <c r="E23" s="1" t="s">
        <v>22</v>
      </c>
      <c r="F23" s="1" t="s">
        <v>23</v>
      </c>
      <c r="G23" s="1" t="s">
        <v>20</v>
      </c>
      <c r="H23" s="1">
        <v>184720.0</v>
      </c>
      <c r="I23" s="1">
        <v>47071.0</v>
      </c>
      <c r="J23" s="1">
        <v>27560.0</v>
      </c>
      <c r="K23" s="1">
        <v>0.0</v>
      </c>
      <c r="L23" s="3"/>
      <c r="M23" s="3"/>
      <c r="N23" s="3"/>
      <c r="O23" s="3"/>
      <c r="P23" s="3"/>
    </row>
    <row r="24" hidden="1">
      <c r="A24" s="1" t="s">
        <v>16</v>
      </c>
      <c r="B24" s="1" t="s">
        <v>40</v>
      </c>
      <c r="C24" s="1" t="s">
        <v>65</v>
      </c>
      <c r="D24" s="1" t="s">
        <v>66</v>
      </c>
      <c r="E24" s="1" t="s">
        <v>24</v>
      </c>
      <c r="F24" s="1" t="s">
        <v>25</v>
      </c>
      <c r="G24" s="1" t="s">
        <v>20</v>
      </c>
      <c r="H24" s="1">
        <v>432011.0</v>
      </c>
      <c r="I24" s="1">
        <v>267089.0</v>
      </c>
      <c r="J24" s="1">
        <v>32690.0</v>
      </c>
      <c r="K24" s="1">
        <v>54121.0</v>
      </c>
      <c r="L24" s="3"/>
      <c r="M24" s="3"/>
      <c r="N24" s="3"/>
      <c r="O24" s="3"/>
      <c r="P24" s="3"/>
    </row>
    <row r="25" hidden="1">
      <c r="A25" s="1" t="s">
        <v>16</v>
      </c>
      <c r="B25" s="1" t="s">
        <v>40</v>
      </c>
      <c r="C25" s="1" t="s">
        <v>67</v>
      </c>
      <c r="D25" s="1" t="s">
        <v>68</v>
      </c>
      <c r="E25" s="1" t="s">
        <v>24</v>
      </c>
      <c r="F25" s="1" t="s">
        <v>25</v>
      </c>
      <c r="G25" s="1" t="s">
        <v>20</v>
      </c>
      <c r="H25" s="1">
        <v>355763.0</v>
      </c>
      <c r="I25" s="1">
        <v>355763.0</v>
      </c>
      <c r="J25" s="1">
        <v>20000.0</v>
      </c>
      <c r="K25" s="1">
        <v>0.0</v>
      </c>
      <c r="L25" s="3"/>
      <c r="M25" s="3"/>
      <c r="N25" s="3"/>
      <c r="O25" s="3"/>
      <c r="P25" s="3"/>
    </row>
    <row r="26" hidden="1">
      <c r="A26" s="1" t="s">
        <v>16</v>
      </c>
      <c r="B26" s="1" t="s">
        <v>40</v>
      </c>
      <c r="C26" s="1" t="s">
        <v>69</v>
      </c>
      <c r="D26" s="1" t="s">
        <v>70</v>
      </c>
      <c r="E26" s="1" t="s">
        <v>24</v>
      </c>
      <c r="F26" s="1" t="s">
        <v>25</v>
      </c>
      <c r="G26" s="1" t="s">
        <v>20</v>
      </c>
      <c r="H26" s="1">
        <v>434017.0</v>
      </c>
      <c r="I26" s="1">
        <v>256775.0</v>
      </c>
      <c r="J26" s="1">
        <v>130786.0</v>
      </c>
      <c r="K26" s="1">
        <v>0.0</v>
      </c>
      <c r="L26" s="3"/>
      <c r="M26" s="3"/>
      <c r="N26" s="3"/>
      <c r="O26" s="3"/>
      <c r="P26" s="3"/>
    </row>
    <row r="27" hidden="1">
      <c r="A27" s="1" t="s">
        <v>16</v>
      </c>
      <c r="B27" s="1" t="s">
        <v>40</v>
      </c>
      <c r="C27" s="1" t="s">
        <v>71</v>
      </c>
      <c r="D27" s="1" t="s">
        <v>72</v>
      </c>
      <c r="E27" s="1" t="s">
        <v>24</v>
      </c>
      <c r="F27" s="1" t="s">
        <v>25</v>
      </c>
      <c r="G27" s="1" t="s">
        <v>20</v>
      </c>
      <c r="H27" s="1">
        <v>684734.0</v>
      </c>
      <c r="I27" s="1">
        <v>416734.0</v>
      </c>
      <c r="J27" s="1">
        <v>268000.0</v>
      </c>
      <c r="K27" s="1">
        <v>0.0</v>
      </c>
      <c r="L27" s="3"/>
      <c r="M27" s="3"/>
      <c r="N27" s="3"/>
      <c r="O27" s="3"/>
      <c r="P27" s="3"/>
    </row>
    <row r="28" hidden="1">
      <c r="A28" s="1" t="s">
        <v>16</v>
      </c>
      <c r="B28" s="1" t="s">
        <v>40</v>
      </c>
      <c r="C28" s="1" t="s">
        <v>73</v>
      </c>
      <c r="D28" s="1" t="s">
        <v>74</v>
      </c>
      <c r="E28" s="1" t="s">
        <v>24</v>
      </c>
      <c r="F28" s="1" t="s">
        <v>25</v>
      </c>
      <c r="G28" s="1" t="s">
        <v>20</v>
      </c>
      <c r="H28" s="1">
        <v>689439.0</v>
      </c>
      <c r="I28" s="1">
        <v>572294.0</v>
      </c>
      <c r="J28" s="1">
        <v>163000.0</v>
      </c>
      <c r="K28" s="1">
        <v>95770.0</v>
      </c>
      <c r="L28" s="3"/>
      <c r="M28" s="3"/>
      <c r="N28" s="3"/>
      <c r="O28" s="3"/>
      <c r="P28" s="3"/>
    </row>
    <row r="29" hidden="1">
      <c r="A29" s="1" t="s">
        <v>16</v>
      </c>
      <c r="B29" s="1" t="s">
        <v>40</v>
      </c>
      <c r="C29" s="1" t="s">
        <v>75</v>
      </c>
      <c r="D29" s="1" t="s">
        <v>76</v>
      </c>
      <c r="E29" s="1" t="s">
        <v>24</v>
      </c>
      <c r="F29" s="1" t="s">
        <v>25</v>
      </c>
      <c r="G29" s="1" t="s">
        <v>20</v>
      </c>
      <c r="H29" s="1">
        <v>803502.0</v>
      </c>
      <c r="I29" s="1">
        <v>557459.0</v>
      </c>
      <c r="J29" s="1">
        <v>176514.0</v>
      </c>
      <c r="K29" s="1">
        <v>69529.0</v>
      </c>
      <c r="L29" s="3"/>
      <c r="M29" s="3"/>
      <c r="N29" s="3"/>
      <c r="O29" s="3"/>
      <c r="P29" s="3"/>
    </row>
    <row r="30" hidden="1">
      <c r="A30" s="1" t="s">
        <v>16</v>
      </c>
      <c r="B30" s="1" t="s">
        <v>40</v>
      </c>
      <c r="C30" s="1" t="s">
        <v>77</v>
      </c>
      <c r="D30" s="1" t="s">
        <v>78</v>
      </c>
      <c r="E30" s="1" t="s">
        <v>24</v>
      </c>
      <c r="F30" s="1" t="s">
        <v>25</v>
      </c>
      <c r="G30" s="1" t="s">
        <v>20</v>
      </c>
      <c r="H30" s="1">
        <v>120862.0</v>
      </c>
      <c r="I30" s="1">
        <v>120862.0</v>
      </c>
      <c r="J30" s="1">
        <v>73276.0</v>
      </c>
      <c r="K30" s="1">
        <v>0.0</v>
      </c>
      <c r="L30" s="3"/>
      <c r="M30" s="3"/>
      <c r="N30" s="3"/>
      <c r="O30" s="3"/>
      <c r="P30" s="3"/>
    </row>
    <row r="31" hidden="1">
      <c r="A31" s="1" t="s">
        <v>16</v>
      </c>
      <c r="B31" s="1" t="s">
        <v>40</v>
      </c>
      <c r="C31" s="1" t="s">
        <v>79</v>
      </c>
      <c r="D31" s="1" t="s">
        <v>80</v>
      </c>
      <c r="E31" s="1" t="s">
        <v>24</v>
      </c>
      <c r="F31" s="1" t="s">
        <v>25</v>
      </c>
      <c r="G31" s="1" t="s">
        <v>20</v>
      </c>
      <c r="H31" s="1">
        <v>141642.0</v>
      </c>
      <c r="I31" s="1">
        <v>102112.0</v>
      </c>
      <c r="J31" s="1">
        <v>33671.0</v>
      </c>
      <c r="K31" s="1">
        <v>5859.0</v>
      </c>
      <c r="L31" s="3"/>
      <c r="M31" s="3"/>
      <c r="N31" s="3"/>
      <c r="O31" s="3"/>
      <c r="P31" s="3"/>
    </row>
    <row r="32" hidden="1">
      <c r="A32" s="1" t="s">
        <v>16</v>
      </c>
      <c r="B32" s="1" t="s">
        <v>40</v>
      </c>
      <c r="C32" s="1" t="s">
        <v>81</v>
      </c>
      <c r="D32" s="1" t="s">
        <v>82</v>
      </c>
      <c r="E32" s="1" t="s">
        <v>24</v>
      </c>
      <c r="F32" s="1" t="s">
        <v>25</v>
      </c>
      <c r="G32" s="1" t="s">
        <v>20</v>
      </c>
      <c r="H32" s="1">
        <v>728542.0</v>
      </c>
      <c r="I32" s="1">
        <v>432026.0</v>
      </c>
      <c r="J32" s="1">
        <v>147355.0</v>
      </c>
      <c r="K32" s="1">
        <v>59955.0</v>
      </c>
      <c r="L32" s="3"/>
      <c r="M32" s="3"/>
      <c r="N32" s="3"/>
      <c r="O32" s="3"/>
      <c r="P32" s="3"/>
    </row>
    <row r="33" hidden="1">
      <c r="A33" s="1" t="s">
        <v>16</v>
      </c>
      <c r="B33" s="1" t="s">
        <v>40</v>
      </c>
      <c r="C33" s="1" t="s">
        <v>83</v>
      </c>
      <c r="D33" s="1" t="s">
        <v>84</v>
      </c>
      <c r="E33" s="1" t="s">
        <v>24</v>
      </c>
      <c r="F33" s="1" t="s">
        <v>25</v>
      </c>
      <c r="G33" s="1" t="s">
        <v>20</v>
      </c>
      <c r="H33" s="1">
        <v>360710.0</v>
      </c>
      <c r="I33" s="1">
        <v>360710.0</v>
      </c>
      <c r="J33" s="1">
        <v>0.0</v>
      </c>
      <c r="K33" s="1">
        <v>0.0</v>
      </c>
      <c r="L33" s="3"/>
      <c r="M33" s="3"/>
      <c r="N33" s="3"/>
      <c r="O33" s="3"/>
      <c r="P33" s="3"/>
    </row>
    <row r="34" hidden="1">
      <c r="A34" s="1" t="s">
        <v>16</v>
      </c>
      <c r="B34" s="1" t="s">
        <v>40</v>
      </c>
      <c r="C34" s="1" t="s">
        <v>85</v>
      </c>
      <c r="D34" s="1" t="s">
        <v>86</v>
      </c>
      <c r="E34" s="1" t="s">
        <v>24</v>
      </c>
      <c r="F34" s="1" t="s">
        <v>25</v>
      </c>
      <c r="G34" s="1" t="s">
        <v>20</v>
      </c>
      <c r="H34" s="1">
        <v>854074.0</v>
      </c>
      <c r="I34" s="1">
        <v>1237442.0</v>
      </c>
      <c r="J34" s="1">
        <v>246238.0</v>
      </c>
      <c r="K34" s="1">
        <v>81466.0</v>
      </c>
      <c r="L34" s="3"/>
      <c r="M34" s="3"/>
      <c r="N34" s="3"/>
      <c r="O34" s="3"/>
      <c r="P34" s="3"/>
    </row>
    <row r="35" hidden="1">
      <c r="A35" s="1" t="s">
        <v>16</v>
      </c>
      <c r="B35" s="1" t="s">
        <v>40</v>
      </c>
      <c r="C35" s="1" t="s">
        <v>87</v>
      </c>
      <c r="D35" s="1" t="s">
        <v>88</v>
      </c>
      <c r="E35" s="1" t="s">
        <v>24</v>
      </c>
      <c r="F35" s="1" t="s">
        <v>25</v>
      </c>
      <c r="G35" s="1" t="s">
        <v>20</v>
      </c>
      <c r="H35" s="1">
        <v>672748.0</v>
      </c>
      <c r="I35" s="1">
        <v>672748.0</v>
      </c>
      <c r="J35" s="1">
        <v>0.0</v>
      </c>
      <c r="K35" s="1">
        <v>0.0</v>
      </c>
      <c r="L35" s="3"/>
      <c r="M35" s="3"/>
      <c r="N35" s="3"/>
      <c r="O35" s="3"/>
      <c r="P35" s="3"/>
    </row>
    <row r="36" hidden="1">
      <c r="A36" s="1" t="s">
        <v>16</v>
      </c>
      <c r="B36" s="1" t="s">
        <v>40</v>
      </c>
      <c r="C36" s="1" t="s">
        <v>89</v>
      </c>
      <c r="D36" s="1" t="s">
        <v>90</v>
      </c>
      <c r="E36" s="1" t="s">
        <v>24</v>
      </c>
      <c r="F36" s="1" t="s">
        <v>25</v>
      </c>
      <c r="G36" s="1" t="s">
        <v>20</v>
      </c>
      <c r="H36" s="1">
        <v>628427.0</v>
      </c>
      <c r="I36" s="1">
        <v>628427.0</v>
      </c>
      <c r="J36" s="1">
        <v>51514.0</v>
      </c>
      <c r="K36" s="1">
        <v>0.0</v>
      </c>
      <c r="L36" s="3"/>
      <c r="M36" s="3"/>
      <c r="N36" s="3"/>
      <c r="O36" s="3"/>
      <c r="P36" s="3"/>
    </row>
    <row r="37" hidden="1">
      <c r="A37" s="1" t="s">
        <v>16</v>
      </c>
      <c r="B37" s="1" t="s">
        <v>40</v>
      </c>
      <c r="C37" s="1" t="s">
        <v>91</v>
      </c>
      <c r="D37" s="1" t="s">
        <v>92</v>
      </c>
      <c r="E37" s="1" t="s">
        <v>24</v>
      </c>
      <c r="F37" s="1" t="s">
        <v>25</v>
      </c>
      <c r="G37" s="1" t="s">
        <v>20</v>
      </c>
      <c r="H37" s="1">
        <v>811667.0</v>
      </c>
      <c r="I37" s="1">
        <v>811667.0</v>
      </c>
      <c r="J37" s="1">
        <v>134351.0</v>
      </c>
      <c r="K37" s="1">
        <v>0.0</v>
      </c>
      <c r="L37" s="3"/>
      <c r="M37" s="3"/>
      <c r="N37" s="3"/>
      <c r="O37" s="3"/>
      <c r="P37" s="3"/>
    </row>
    <row r="38" hidden="1">
      <c r="A38" s="1" t="s">
        <v>16</v>
      </c>
      <c r="B38" s="1" t="s">
        <v>40</v>
      </c>
      <c r="C38" s="1" t="s">
        <v>93</v>
      </c>
      <c r="D38" s="1" t="s">
        <v>94</v>
      </c>
      <c r="E38" s="1" t="s">
        <v>24</v>
      </c>
      <c r="F38" s="1" t="s">
        <v>25</v>
      </c>
      <c r="G38" s="1" t="s">
        <v>20</v>
      </c>
      <c r="H38" s="1">
        <v>785303.0</v>
      </c>
      <c r="I38" s="1">
        <v>611953.0</v>
      </c>
      <c r="J38" s="1">
        <v>197624.0</v>
      </c>
      <c r="K38" s="1">
        <v>0.0</v>
      </c>
      <c r="L38" s="3"/>
      <c r="M38" s="3"/>
      <c r="N38" s="3"/>
      <c r="O38" s="3"/>
      <c r="P38" s="3"/>
    </row>
    <row r="39" hidden="1">
      <c r="A39" s="1" t="s">
        <v>16</v>
      </c>
      <c r="B39" s="1" t="s">
        <v>40</v>
      </c>
      <c r="C39" s="1" t="s">
        <v>95</v>
      </c>
      <c r="D39" s="1" t="s">
        <v>96</v>
      </c>
      <c r="E39" s="1" t="s">
        <v>24</v>
      </c>
      <c r="F39" s="1" t="s">
        <v>25</v>
      </c>
      <c r="G39" s="1" t="s">
        <v>20</v>
      </c>
      <c r="H39" s="1">
        <v>247890.0</v>
      </c>
      <c r="I39" s="1">
        <v>76417.0</v>
      </c>
      <c r="J39" s="1">
        <v>45606.0</v>
      </c>
      <c r="K39" s="1">
        <v>0.0</v>
      </c>
      <c r="L39" s="3"/>
      <c r="M39" s="3"/>
      <c r="N39" s="3"/>
      <c r="O39" s="3"/>
      <c r="P39" s="3"/>
    </row>
    <row r="40" hidden="1">
      <c r="A40" s="1" t="s">
        <v>16</v>
      </c>
      <c r="B40" s="1" t="s">
        <v>40</v>
      </c>
      <c r="C40" s="1" t="s">
        <v>97</v>
      </c>
      <c r="D40" s="1" t="s">
        <v>98</v>
      </c>
      <c r="E40" s="1" t="s">
        <v>24</v>
      </c>
      <c r="F40" s="1" t="s">
        <v>25</v>
      </c>
      <c r="G40" s="1" t="s">
        <v>20</v>
      </c>
      <c r="H40" s="1">
        <v>290191.0</v>
      </c>
      <c r="I40" s="1">
        <v>220223.0</v>
      </c>
      <c r="J40" s="1">
        <v>10581.0</v>
      </c>
      <c r="K40" s="1">
        <v>78195.0</v>
      </c>
      <c r="L40" s="3"/>
      <c r="M40" s="3"/>
      <c r="N40" s="3"/>
      <c r="O40" s="3"/>
      <c r="P40" s="3"/>
    </row>
    <row r="41" hidden="1">
      <c r="A41" s="1" t="s">
        <v>16</v>
      </c>
      <c r="B41" s="1" t="s">
        <v>40</v>
      </c>
      <c r="C41" s="1" t="s">
        <v>99</v>
      </c>
      <c r="D41" s="1" t="s">
        <v>100</v>
      </c>
      <c r="E41" s="1" t="s">
        <v>24</v>
      </c>
      <c r="F41" s="1" t="s">
        <v>25</v>
      </c>
      <c r="G41" s="1" t="s">
        <v>20</v>
      </c>
      <c r="H41" s="1">
        <v>810101.0</v>
      </c>
      <c r="I41" s="1">
        <v>279422.0</v>
      </c>
      <c r="J41" s="1">
        <v>90000.0</v>
      </c>
      <c r="K41" s="1">
        <v>440679.0</v>
      </c>
      <c r="L41" s="3"/>
      <c r="M41" s="3"/>
      <c r="N41" s="3"/>
      <c r="O41" s="3"/>
      <c r="P41" s="3"/>
    </row>
    <row r="42" hidden="1">
      <c r="A42" s="1" t="s">
        <v>16</v>
      </c>
      <c r="B42" s="1" t="s">
        <v>40</v>
      </c>
      <c r="C42" s="1" t="s">
        <v>101</v>
      </c>
      <c r="D42" s="1" t="s">
        <v>102</v>
      </c>
      <c r="E42" s="1" t="s">
        <v>24</v>
      </c>
      <c r="F42" s="1" t="s">
        <v>25</v>
      </c>
      <c r="G42" s="1" t="s">
        <v>20</v>
      </c>
      <c r="H42" s="1">
        <v>647504.0</v>
      </c>
      <c r="I42" s="1">
        <v>490668.0</v>
      </c>
      <c r="J42" s="1">
        <v>154838.0</v>
      </c>
      <c r="K42" s="1">
        <v>0.0</v>
      </c>
      <c r="L42" s="3"/>
      <c r="M42" s="3"/>
      <c r="N42" s="3"/>
      <c r="O42" s="3"/>
      <c r="P42" s="3"/>
    </row>
    <row r="43" hidden="1">
      <c r="A43" s="1" t="s">
        <v>16</v>
      </c>
      <c r="B43" s="1" t="s">
        <v>40</v>
      </c>
      <c r="C43" s="1" t="s">
        <v>103</v>
      </c>
      <c r="D43" s="1" t="s">
        <v>104</v>
      </c>
      <c r="E43" s="1" t="s">
        <v>24</v>
      </c>
      <c r="F43" s="1" t="s">
        <v>25</v>
      </c>
      <c r="G43" s="1" t="s">
        <v>20</v>
      </c>
      <c r="H43" s="1">
        <v>430000.0</v>
      </c>
      <c r="I43" s="1">
        <v>430000.0</v>
      </c>
      <c r="J43" s="1">
        <v>427420.0</v>
      </c>
      <c r="K43" s="1">
        <v>0.0</v>
      </c>
      <c r="L43" s="3"/>
      <c r="M43" s="3"/>
      <c r="N43" s="3"/>
      <c r="O43" s="3"/>
      <c r="P43" s="3"/>
    </row>
    <row r="44" hidden="1">
      <c r="A44" s="1" t="s">
        <v>16</v>
      </c>
      <c r="B44" s="1" t="s">
        <v>40</v>
      </c>
      <c r="C44" s="1" t="s">
        <v>105</v>
      </c>
      <c r="D44" s="1" t="s">
        <v>106</v>
      </c>
      <c r="E44" s="1" t="s">
        <v>24</v>
      </c>
      <c r="F44" s="1" t="s">
        <v>25</v>
      </c>
      <c r="G44" s="1" t="s">
        <v>20</v>
      </c>
      <c r="H44" s="1">
        <v>280000.0</v>
      </c>
      <c r="I44" s="1">
        <v>313516.0</v>
      </c>
      <c r="J44" s="1">
        <v>78256.0</v>
      </c>
      <c r="K44" s="1">
        <v>0.0</v>
      </c>
      <c r="L44" s="3"/>
      <c r="M44" s="3"/>
      <c r="N44" s="3"/>
      <c r="O44" s="3"/>
      <c r="P44" s="3"/>
    </row>
    <row r="45" hidden="1">
      <c r="A45" s="1" t="s">
        <v>16</v>
      </c>
      <c r="B45" s="1" t="s">
        <v>40</v>
      </c>
      <c r="C45" s="1" t="s">
        <v>107</v>
      </c>
      <c r="D45" s="1" t="s">
        <v>108</v>
      </c>
      <c r="E45" s="1" t="s">
        <v>24</v>
      </c>
      <c r="F45" s="1" t="s">
        <v>25</v>
      </c>
      <c r="G45" s="1" t="s">
        <v>20</v>
      </c>
      <c r="H45" s="1">
        <v>430000.0</v>
      </c>
      <c r="I45" s="1">
        <v>403690.0</v>
      </c>
      <c r="J45" s="1">
        <v>212000.0</v>
      </c>
      <c r="K45" s="1">
        <v>0.0</v>
      </c>
      <c r="L45" s="3"/>
      <c r="M45" s="3"/>
      <c r="N45" s="3"/>
      <c r="O45" s="3"/>
      <c r="P45" s="3"/>
    </row>
    <row r="46" hidden="1">
      <c r="A46" s="1" t="s">
        <v>16</v>
      </c>
      <c r="B46" s="1" t="s">
        <v>40</v>
      </c>
      <c r="C46" s="1" t="s">
        <v>109</v>
      </c>
      <c r="D46" s="1" t="s">
        <v>110</v>
      </c>
      <c r="E46" s="1" t="s">
        <v>24</v>
      </c>
      <c r="F46" s="1" t="s">
        <v>25</v>
      </c>
      <c r="G46" s="1" t="s">
        <v>20</v>
      </c>
      <c r="H46" s="1">
        <v>1024120.0</v>
      </c>
      <c r="I46" s="1">
        <v>811344.0</v>
      </c>
      <c r="J46" s="1">
        <v>212018.0</v>
      </c>
      <c r="K46" s="1">
        <v>0.0</v>
      </c>
      <c r="L46" s="3"/>
      <c r="M46" s="3"/>
      <c r="N46" s="3"/>
      <c r="O46" s="3"/>
      <c r="P46" s="3"/>
    </row>
    <row r="47" hidden="1">
      <c r="A47" s="1" t="s">
        <v>16</v>
      </c>
      <c r="B47" s="1" t="s">
        <v>40</v>
      </c>
      <c r="C47" s="1" t="s">
        <v>111</v>
      </c>
      <c r="D47" s="1" t="s">
        <v>112</v>
      </c>
      <c r="E47" s="1" t="s">
        <v>24</v>
      </c>
      <c r="F47" s="1" t="s">
        <v>25</v>
      </c>
      <c r="G47" s="1" t="s">
        <v>20</v>
      </c>
      <c r="H47" s="1">
        <v>1556406.0</v>
      </c>
      <c r="I47" s="1">
        <v>1556406.0</v>
      </c>
      <c r="J47" s="1">
        <v>670435.0</v>
      </c>
      <c r="K47" s="1">
        <v>0.0</v>
      </c>
      <c r="L47" s="3"/>
      <c r="M47" s="3"/>
      <c r="N47" s="3"/>
      <c r="O47" s="3"/>
      <c r="P47" s="3"/>
    </row>
    <row r="48" hidden="1">
      <c r="A48" s="1" t="s">
        <v>16</v>
      </c>
      <c r="B48" s="1" t="s">
        <v>40</v>
      </c>
      <c r="C48" s="1" t="s">
        <v>113</v>
      </c>
      <c r="D48" s="1" t="s">
        <v>114</v>
      </c>
      <c r="E48" s="1" t="s">
        <v>26</v>
      </c>
      <c r="F48" s="1" t="s">
        <v>27</v>
      </c>
      <c r="G48" s="1" t="s">
        <v>20</v>
      </c>
      <c r="H48" s="1">
        <v>765000.0</v>
      </c>
      <c r="I48" s="1">
        <v>732000.0</v>
      </c>
      <c r="J48" s="1">
        <v>182944.0</v>
      </c>
      <c r="K48" s="1">
        <v>0.0</v>
      </c>
      <c r="L48" s="3"/>
      <c r="M48" s="3"/>
      <c r="N48" s="3"/>
      <c r="O48" s="3"/>
      <c r="P48" s="3"/>
    </row>
    <row r="49" hidden="1">
      <c r="A49" s="1" t="s">
        <v>16</v>
      </c>
      <c r="B49" s="1" t="s">
        <v>40</v>
      </c>
      <c r="C49" s="1" t="s">
        <v>115</v>
      </c>
      <c r="D49" s="1" t="s">
        <v>116</v>
      </c>
      <c r="E49" s="1" t="s">
        <v>26</v>
      </c>
      <c r="F49" s="1" t="s">
        <v>27</v>
      </c>
      <c r="G49" s="1" t="s">
        <v>20</v>
      </c>
      <c r="H49" s="1">
        <v>728709.0</v>
      </c>
      <c r="I49" s="1">
        <v>607316.0</v>
      </c>
      <c r="J49" s="1">
        <v>132541.0</v>
      </c>
      <c r="K49" s="1">
        <v>20963.0</v>
      </c>
      <c r="L49" s="3"/>
      <c r="M49" s="3"/>
      <c r="N49" s="3"/>
      <c r="O49" s="3"/>
      <c r="P49" s="3"/>
    </row>
    <row r="50" hidden="1">
      <c r="A50" s="1" t="s">
        <v>16</v>
      </c>
      <c r="B50" s="1" t="s">
        <v>40</v>
      </c>
      <c r="C50" s="1" t="s">
        <v>117</v>
      </c>
      <c r="D50" s="1" t="s">
        <v>118</v>
      </c>
      <c r="E50" s="1" t="s">
        <v>26</v>
      </c>
      <c r="F50" s="1" t="s">
        <v>27</v>
      </c>
      <c r="G50" s="1" t="s">
        <v>20</v>
      </c>
      <c r="H50" s="1">
        <v>383000.0</v>
      </c>
      <c r="I50" s="1">
        <v>329762.0</v>
      </c>
      <c r="J50" s="1">
        <v>29994.0</v>
      </c>
      <c r="K50" s="1">
        <v>0.0</v>
      </c>
      <c r="L50" s="3"/>
      <c r="M50" s="3"/>
      <c r="N50" s="3"/>
      <c r="O50" s="3"/>
      <c r="P50" s="3"/>
    </row>
    <row r="51" hidden="1">
      <c r="A51" s="1" t="s">
        <v>16</v>
      </c>
      <c r="B51" s="1" t="s">
        <v>40</v>
      </c>
      <c r="C51" s="1" t="s">
        <v>119</v>
      </c>
      <c r="D51" s="1" t="s">
        <v>120</v>
      </c>
      <c r="E51" s="1" t="s">
        <v>26</v>
      </c>
      <c r="F51" s="1" t="s">
        <v>27</v>
      </c>
      <c r="G51" s="1" t="s">
        <v>20</v>
      </c>
      <c r="H51" s="1">
        <v>282245.0</v>
      </c>
      <c r="I51" s="1">
        <v>246530.0</v>
      </c>
      <c r="J51" s="1">
        <v>43474.0</v>
      </c>
      <c r="K51" s="1">
        <v>0.0</v>
      </c>
      <c r="L51" s="3"/>
      <c r="M51" s="3"/>
      <c r="N51" s="3"/>
      <c r="O51" s="3"/>
      <c r="P51" s="3"/>
    </row>
    <row r="52" hidden="1">
      <c r="A52" s="1" t="s">
        <v>16</v>
      </c>
      <c r="B52" s="1" t="s">
        <v>40</v>
      </c>
      <c r="C52" s="1" t="s">
        <v>121</v>
      </c>
      <c r="D52" s="1" t="s">
        <v>122</v>
      </c>
      <c r="E52" s="1" t="s">
        <v>26</v>
      </c>
      <c r="F52" s="1" t="s">
        <v>27</v>
      </c>
      <c r="G52" s="1" t="s">
        <v>20</v>
      </c>
      <c r="H52" s="1">
        <v>399844.0</v>
      </c>
      <c r="I52" s="1">
        <v>357743.0</v>
      </c>
      <c r="J52" s="1">
        <v>83268.0</v>
      </c>
      <c r="K52" s="1">
        <v>7189.0</v>
      </c>
      <c r="L52" s="3"/>
      <c r="M52" s="3"/>
      <c r="N52" s="3"/>
      <c r="O52" s="3"/>
      <c r="P52" s="3"/>
    </row>
    <row r="53" hidden="1">
      <c r="A53" s="1" t="s">
        <v>16</v>
      </c>
      <c r="B53" s="1" t="s">
        <v>40</v>
      </c>
      <c r="C53" s="1" t="s">
        <v>123</v>
      </c>
      <c r="D53" s="1" t="s">
        <v>124</v>
      </c>
      <c r="E53" s="1" t="s">
        <v>26</v>
      </c>
      <c r="F53" s="1" t="s">
        <v>27</v>
      </c>
      <c r="G53" s="1" t="s">
        <v>20</v>
      </c>
      <c r="H53" s="1">
        <v>480000.0</v>
      </c>
      <c r="I53" s="1">
        <v>540397.0</v>
      </c>
      <c r="J53" s="1">
        <v>268345.0</v>
      </c>
      <c r="K53" s="1">
        <v>0.0</v>
      </c>
      <c r="L53" s="3"/>
      <c r="M53" s="3"/>
      <c r="N53" s="3"/>
      <c r="O53" s="3"/>
      <c r="P53" s="3"/>
    </row>
    <row r="54" hidden="1">
      <c r="A54" s="1" t="s">
        <v>16</v>
      </c>
      <c r="B54" s="1" t="s">
        <v>40</v>
      </c>
      <c r="C54" s="1" t="s">
        <v>125</v>
      </c>
      <c r="D54" s="1" t="s">
        <v>126</v>
      </c>
      <c r="E54" s="1" t="s">
        <v>26</v>
      </c>
      <c r="F54" s="1" t="s">
        <v>27</v>
      </c>
      <c r="G54" s="1" t="s">
        <v>20</v>
      </c>
      <c r="H54" s="1">
        <v>0.0</v>
      </c>
      <c r="I54" s="1">
        <v>0.0</v>
      </c>
      <c r="J54" s="1">
        <v>0.0</v>
      </c>
      <c r="K54" s="1">
        <v>0.0</v>
      </c>
      <c r="L54" s="3"/>
      <c r="M54" s="3"/>
      <c r="N54" s="3"/>
      <c r="O54" s="3"/>
      <c r="P54" s="3"/>
    </row>
    <row r="55" hidden="1">
      <c r="A55" s="1" t="s">
        <v>16</v>
      </c>
      <c r="B55" s="1" t="s">
        <v>40</v>
      </c>
      <c r="C55" s="1" t="s">
        <v>127</v>
      </c>
      <c r="D55" s="1" t="s">
        <v>128</v>
      </c>
      <c r="E55" s="1" t="s">
        <v>26</v>
      </c>
      <c r="F55" s="1" t="s">
        <v>27</v>
      </c>
      <c r="G55" s="1" t="s">
        <v>20</v>
      </c>
      <c r="H55" s="1">
        <v>569244.0</v>
      </c>
      <c r="I55" s="1">
        <v>569244.0</v>
      </c>
      <c r="J55" s="1">
        <v>145493.0</v>
      </c>
      <c r="K55" s="1">
        <v>86211.0</v>
      </c>
      <c r="L55" s="3"/>
      <c r="M55" s="3"/>
      <c r="N55" s="3"/>
      <c r="O55" s="3"/>
      <c r="P55" s="3"/>
    </row>
    <row r="56" hidden="1">
      <c r="A56" s="1" t="s">
        <v>16</v>
      </c>
      <c r="B56" s="1" t="s">
        <v>40</v>
      </c>
      <c r="C56" s="1" t="s">
        <v>129</v>
      </c>
      <c r="D56" s="1" t="s">
        <v>130</v>
      </c>
      <c r="E56" s="1" t="s">
        <v>26</v>
      </c>
      <c r="F56" s="1" t="s">
        <v>27</v>
      </c>
      <c r="G56" s="1" t="s">
        <v>20</v>
      </c>
      <c r="H56" s="1">
        <v>1204368.0</v>
      </c>
      <c r="I56" s="1">
        <v>8757.0</v>
      </c>
      <c r="J56" s="1">
        <v>416211.0</v>
      </c>
      <c r="K56" s="1">
        <v>13800.0</v>
      </c>
      <c r="L56" s="3"/>
      <c r="M56" s="3"/>
      <c r="N56" s="3"/>
      <c r="O56" s="3"/>
      <c r="P56" s="3"/>
    </row>
    <row r="57" hidden="1">
      <c r="A57" s="1" t="s">
        <v>16</v>
      </c>
      <c r="B57" s="1" t="s">
        <v>40</v>
      </c>
      <c r="C57" s="1" t="s">
        <v>131</v>
      </c>
      <c r="D57" s="1" t="s">
        <v>132</v>
      </c>
      <c r="E57" s="1" t="s">
        <v>26</v>
      </c>
      <c r="F57" s="1" t="s">
        <v>27</v>
      </c>
      <c r="G57" s="1" t="s">
        <v>20</v>
      </c>
      <c r="H57" s="1">
        <v>748016.0</v>
      </c>
      <c r="I57" s="1">
        <v>492022.0</v>
      </c>
      <c r="J57" s="1">
        <v>125980.0</v>
      </c>
      <c r="K57" s="1">
        <v>129961.0</v>
      </c>
      <c r="L57" s="3"/>
      <c r="M57" s="3"/>
      <c r="N57" s="3"/>
      <c r="O57" s="3"/>
      <c r="P57" s="3"/>
    </row>
    <row r="58" hidden="1">
      <c r="A58" s="1" t="s">
        <v>16</v>
      </c>
      <c r="B58" s="1" t="s">
        <v>40</v>
      </c>
      <c r="C58" s="1" t="s">
        <v>133</v>
      </c>
      <c r="D58" s="1" t="s">
        <v>134</v>
      </c>
      <c r="E58" s="1" t="s">
        <v>26</v>
      </c>
      <c r="F58" s="1" t="s">
        <v>27</v>
      </c>
      <c r="G58" s="1" t="s">
        <v>20</v>
      </c>
      <c r="H58" s="1">
        <v>45000.0</v>
      </c>
      <c r="I58" s="1">
        <v>0.0</v>
      </c>
      <c r="J58" s="1">
        <v>33070.0</v>
      </c>
      <c r="K58" s="1">
        <v>0.0</v>
      </c>
      <c r="L58" s="3"/>
      <c r="M58" s="3"/>
      <c r="N58" s="3"/>
      <c r="O58" s="3"/>
      <c r="P58" s="3"/>
    </row>
    <row r="59" hidden="1">
      <c r="A59" s="1" t="s">
        <v>16</v>
      </c>
      <c r="B59" s="1" t="s">
        <v>40</v>
      </c>
      <c r="C59" s="1" t="s">
        <v>135</v>
      </c>
      <c r="D59" s="1" t="s">
        <v>136</v>
      </c>
      <c r="E59" s="1" t="s">
        <v>26</v>
      </c>
      <c r="F59" s="1" t="s">
        <v>27</v>
      </c>
      <c r="G59" s="1" t="s">
        <v>20</v>
      </c>
      <c r="H59" s="1">
        <v>1494835.0</v>
      </c>
      <c r="I59" s="1">
        <v>1110544.0</v>
      </c>
      <c r="J59" s="1">
        <v>229519.0</v>
      </c>
      <c r="K59" s="1">
        <v>298142.0</v>
      </c>
      <c r="L59" s="3"/>
      <c r="M59" s="3"/>
      <c r="N59" s="3"/>
      <c r="O59" s="3"/>
      <c r="P59" s="3"/>
    </row>
    <row r="60" hidden="1">
      <c r="A60" s="1" t="s">
        <v>16</v>
      </c>
      <c r="B60" s="1" t="s">
        <v>40</v>
      </c>
      <c r="C60" s="1" t="s">
        <v>137</v>
      </c>
      <c r="D60" s="1" t="s">
        <v>138</v>
      </c>
      <c r="E60" s="1" t="s">
        <v>26</v>
      </c>
      <c r="F60" s="1" t="s">
        <v>27</v>
      </c>
      <c r="G60" s="1" t="s">
        <v>20</v>
      </c>
      <c r="H60" s="1">
        <v>942566.0</v>
      </c>
      <c r="I60" s="1">
        <v>942566.0</v>
      </c>
      <c r="J60" s="1">
        <v>0.0</v>
      </c>
      <c r="K60" s="1">
        <v>481394.0</v>
      </c>
      <c r="L60" s="3"/>
      <c r="M60" s="3"/>
      <c r="N60" s="3"/>
      <c r="O60" s="3"/>
      <c r="P60" s="3"/>
    </row>
    <row r="61" hidden="1">
      <c r="A61" s="1" t="s">
        <v>16</v>
      </c>
      <c r="B61" s="1" t="s">
        <v>40</v>
      </c>
      <c r="C61" s="1" t="s">
        <v>139</v>
      </c>
      <c r="D61" s="1" t="s">
        <v>140</v>
      </c>
      <c r="E61" s="1" t="s">
        <v>26</v>
      </c>
      <c r="F61" s="1" t="s">
        <v>27</v>
      </c>
      <c r="G61" s="1" t="s">
        <v>20</v>
      </c>
      <c r="H61" s="1">
        <v>0.0</v>
      </c>
      <c r="I61" s="1">
        <v>0.0</v>
      </c>
      <c r="J61" s="1">
        <v>0.0</v>
      </c>
      <c r="K61" s="1">
        <v>0.0</v>
      </c>
      <c r="L61" s="3"/>
      <c r="M61" s="3"/>
      <c r="N61" s="3"/>
      <c r="O61" s="3"/>
      <c r="P61" s="3"/>
    </row>
    <row r="62" hidden="1">
      <c r="A62" s="1" t="s">
        <v>16</v>
      </c>
      <c r="B62" s="1" t="s">
        <v>40</v>
      </c>
      <c r="C62" s="1" t="s">
        <v>141</v>
      </c>
      <c r="D62" s="1" t="s">
        <v>142</v>
      </c>
      <c r="E62" s="1" t="s">
        <v>26</v>
      </c>
      <c r="F62" s="1" t="s">
        <v>27</v>
      </c>
      <c r="G62" s="1" t="s">
        <v>20</v>
      </c>
      <c r="H62" s="1">
        <v>0.0</v>
      </c>
      <c r="I62" s="1">
        <v>0.0</v>
      </c>
      <c r="J62" s="1">
        <v>0.0</v>
      </c>
      <c r="K62" s="1">
        <v>0.0</v>
      </c>
      <c r="L62" s="3"/>
      <c r="M62" s="3"/>
      <c r="N62" s="3"/>
      <c r="O62" s="3"/>
      <c r="P62" s="3"/>
    </row>
    <row r="63" hidden="1">
      <c r="A63" s="1" t="s">
        <v>16</v>
      </c>
      <c r="B63" s="1" t="s">
        <v>40</v>
      </c>
      <c r="C63" s="1" t="s">
        <v>143</v>
      </c>
      <c r="D63" s="1" t="s">
        <v>144</v>
      </c>
      <c r="E63" s="1" t="s">
        <v>28</v>
      </c>
      <c r="F63" s="1" t="s">
        <v>29</v>
      </c>
      <c r="G63" s="1" t="s">
        <v>20</v>
      </c>
      <c r="H63" s="1">
        <v>476999.0</v>
      </c>
      <c r="I63" s="1">
        <v>408369.0</v>
      </c>
      <c r="J63" s="1">
        <v>68630.0</v>
      </c>
      <c r="K63" s="1">
        <v>0.0</v>
      </c>
      <c r="L63" s="3"/>
      <c r="M63" s="3"/>
      <c r="N63" s="3"/>
      <c r="O63" s="3"/>
      <c r="P63" s="3"/>
    </row>
    <row r="64" hidden="1">
      <c r="A64" s="1" t="s">
        <v>16</v>
      </c>
      <c r="B64" s="1" t="s">
        <v>40</v>
      </c>
      <c r="C64" s="1" t="s">
        <v>145</v>
      </c>
      <c r="D64" s="1" t="s">
        <v>146</v>
      </c>
      <c r="E64" s="1" t="s">
        <v>28</v>
      </c>
      <c r="F64" s="1" t="s">
        <v>29</v>
      </c>
      <c r="G64" s="1" t="s">
        <v>20</v>
      </c>
      <c r="H64" s="1">
        <v>333000.0</v>
      </c>
      <c r="I64" s="1">
        <v>333000.0</v>
      </c>
      <c r="J64" s="1">
        <v>220635.0</v>
      </c>
      <c r="K64" s="1">
        <v>485360.0</v>
      </c>
      <c r="L64" s="3"/>
      <c r="M64" s="3"/>
      <c r="N64" s="3"/>
      <c r="O64" s="3"/>
      <c r="P64" s="3"/>
    </row>
    <row r="65" hidden="1">
      <c r="A65" s="1" t="s">
        <v>16</v>
      </c>
      <c r="B65" s="1" t="s">
        <v>40</v>
      </c>
      <c r="C65" s="1" t="s">
        <v>147</v>
      </c>
      <c r="D65" s="1" t="s">
        <v>148</v>
      </c>
      <c r="E65" s="1" t="s">
        <v>28</v>
      </c>
      <c r="F65" s="1" t="s">
        <v>29</v>
      </c>
      <c r="G65" s="1" t="s">
        <v>20</v>
      </c>
      <c r="H65" s="1">
        <v>65961.0</v>
      </c>
      <c r="I65" s="1">
        <v>56461.0</v>
      </c>
      <c r="J65" s="1">
        <v>9500.0</v>
      </c>
      <c r="K65" s="1">
        <v>0.0</v>
      </c>
      <c r="L65" s="3"/>
      <c r="M65" s="3"/>
      <c r="N65" s="3"/>
      <c r="O65" s="3"/>
      <c r="P65" s="3"/>
    </row>
    <row r="66" hidden="1">
      <c r="A66" s="1" t="s">
        <v>16</v>
      </c>
      <c r="B66" s="1" t="s">
        <v>40</v>
      </c>
      <c r="C66" s="1" t="s">
        <v>149</v>
      </c>
      <c r="D66" s="1" t="s">
        <v>150</v>
      </c>
      <c r="E66" s="1" t="s">
        <v>28</v>
      </c>
      <c r="F66" s="1" t="s">
        <v>29</v>
      </c>
      <c r="G66" s="1" t="s">
        <v>20</v>
      </c>
      <c r="H66" s="1">
        <v>603018.0</v>
      </c>
      <c r="I66" s="1">
        <v>1051158.0</v>
      </c>
      <c r="J66" s="1">
        <v>154874.0</v>
      </c>
      <c r="K66" s="1">
        <v>0.0</v>
      </c>
      <c r="L66" s="3"/>
      <c r="M66" s="3"/>
      <c r="N66" s="3"/>
      <c r="O66" s="3"/>
      <c r="P66" s="3"/>
    </row>
    <row r="67" hidden="1">
      <c r="A67" s="1" t="s">
        <v>16</v>
      </c>
      <c r="B67" s="1" t="s">
        <v>40</v>
      </c>
      <c r="C67" s="1" t="s">
        <v>151</v>
      </c>
      <c r="D67" s="1" t="s">
        <v>152</v>
      </c>
      <c r="E67" s="1" t="s">
        <v>28</v>
      </c>
      <c r="F67" s="1" t="s">
        <v>29</v>
      </c>
      <c r="G67" s="1" t="s">
        <v>20</v>
      </c>
      <c r="H67" s="1">
        <v>226486.0</v>
      </c>
      <c r="I67" s="1">
        <v>229045.0</v>
      </c>
      <c r="J67" s="1">
        <v>61550.0</v>
      </c>
      <c r="K67" s="1">
        <v>0.0</v>
      </c>
      <c r="L67" s="3"/>
      <c r="M67" s="3"/>
      <c r="N67" s="3"/>
      <c r="O67" s="3"/>
      <c r="P67" s="3"/>
    </row>
    <row r="68" hidden="1">
      <c r="A68" s="1" t="s">
        <v>16</v>
      </c>
      <c r="B68" s="1" t="s">
        <v>40</v>
      </c>
      <c r="C68" s="1" t="s">
        <v>153</v>
      </c>
      <c r="D68" s="1" t="s">
        <v>154</v>
      </c>
      <c r="E68" s="1" t="s">
        <v>28</v>
      </c>
      <c r="F68" s="1" t="s">
        <v>29</v>
      </c>
      <c r="G68" s="1" t="s">
        <v>20</v>
      </c>
      <c r="H68" s="1">
        <v>846312.0</v>
      </c>
      <c r="I68" s="1">
        <v>664550.0</v>
      </c>
      <c r="J68" s="1">
        <v>195258.0</v>
      </c>
      <c r="K68" s="1">
        <v>0.0</v>
      </c>
      <c r="L68" s="3"/>
      <c r="M68" s="3"/>
      <c r="N68" s="3"/>
      <c r="O68" s="3"/>
      <c r="P68" s="3"/>
    </row>
    <row r="69" hidden="1">
      <c r="A69" s="1" t="s">
        <v>16</v>
      </c>
      <c r="B69" s="1" t="s">
        <v>40</v>
      </c>
      <c r="C69" s="1" t="s">
        <v>155</v>
      </c>
      <c r="D69" s="1" t="s">
        <v>156</v>
      </c>
      <c r="E69" s="1" t="s">
        <v>28</v>
      </c>
      <c r="F69" s="1" t="s">
        <v>29</v>
      </c>
      <c r="G69" s="1" t="s">
        <v>20</v>
      </c>
      <c r="H69" s="1">
        <v>2564304.0</v>
      </c>
      <c r="I69" s="1">
        <v>2533620.0</v>
      </c>
      <c r="J69" s="1">
        <v>293303.0</v>
      </c>
      <c r="K69" s="1">
        <v>0.0</v>
      </c>
      <c r="L69" s="3"/>
      <c r="M69" s="3"/>
      <c r="N69" s="3"/>
      <c r="O69" s="3"/>
      <c r="P69" s="3"/>
    </row>
    <row r="70" hidden="1">
      <c r="A70" s="1" t="s">
        <v>16</v>
      </c>
      <c r="B70" s="1" t="s">
        <v>40</v>
      </c>
      <c r="C70" s="1" t="s">
        <v>157</v>
      </c>
      <c r="D70" s="1" t="s">
        <v>158</v>
      </c>
      <c r="E70" s="1" t="s">
        <v>28</v>
      </c>
      <c r="F70" s="1" t="s">
        <v>29</v>
      </c>
      <c r="G70" s="1" t="s">
        <v>20</v>
      </c>
      <c r="H70" s="1">
        <v>1336819.0</v>
      </c>
      <c r="I70" s="1">
        <v>1096153.0</v>
      </c>
      <c r="J70" s="1">
        <v>240666.0</v>
      </c>
      <c r="K70" s="1">
        <v>0.0</v>
      </c>
      <c r="L70" s="3"/>
      <c r="M70" s="3"/>
      <c r="N70" s="3"/>
      <c r="O70" s="3"/>
      <c r="P70" s="3"/>
    </row>
    <row r="71" hidden="1">
      <c r="A71" s="1" t="s">
        <v>16</v>
      </c>
      <c r="B71" s="1" t="s">
        <v>40</v>
      </c>
      <c r="C71" s="1" t="s">
        <v>159</v>
      </c>
      <c r="D71" s="1" t="s">
        <v>160</v>
      </c>
      <c r="E71" s="1" t="s">
        <v>28</v>
      </c>
      <c r="F71" s="1" t="s">
        <v>29</v>
      </c>
      <c r="G71" s="1" t="s">
        <v>20</v>
      </c>
      <c r="H71" s="1">
        <v>2425633.0</v>
      </c>
      <c r="I71" s="1">
        <v>1660157.0</v>
      </c>
      <c r="J71" s="1">
        <v>503858.0</v>
      </c>
      <c r="K71" s="1">
        <v>266696.0</v>
      </c>
      <c r="L71" s="3"/>
      <c r="M71" s="3"/>
      <c r="N71" s="3"/>
      <c r="O71" s="3"/>
      <c r="P71" s="3"/>
    </row>
    <row r="72" hidden="1">
      <c r="A72" s="1" t="s">
        <v>16</v>
      </c>
      <c r="B72" s="1" t="s">
        <v>40</v>
      </c>
      <c r="C72" s="1" t="s">
        <v>161</v>
      </c>
      <c r="D72" s="1" t="s">
        <v>162</v>
      </c>
      <c r="E72" s="1" t="s">
        <v>28</v>
      </c>
      <c r="F72" s="1" t="s">
        <v>29</v>
      </c>
      <c r="G72" s="1" t="s">
        <v>20</v>
      </c>
      <c r="H72" s="1">
        <v>1760030.0</v>
      </c>
      <c r="I72" s="1">
        <v>0.0</v>
      </c>
      <c r="J72" s="1">
        <v>0.0</v>
      </c>
      <c r="K72" s="1">
        <v>0.0</v>
      </c>
      <c r="L72" s="3"/>
      <c r="M72" s="3"/>
      <c r="N72" s="3"/>
      <c r="O72" s="3"/>
      <c r="P72" s="3"/>
    </row>
    <row r="73" hidden="1">
      <c r="A73" s="1" t="s">
        <v>16</v>
      </c>
      <c r="B73" s="1" t="s">
        <v>40</v>
      </c>
      <c r="C73" s="1" t="s">
        <v>163</v>
      </c>
      <c r="D73" s="1" t="s">
        <v>164</v>
      </c>
      <c r="E73" s="1" t="s">
        <v>30</v>
      </c>
      <c r="F73" s="1" t="s">
        <v>31</v>
      </c>
      <c r="G73" s="1" t="s">
        <v>20</v>
      </c>
      <c r="H73" s="1">
        <v>33204.0</v>
      </c>
      <c r="I73" s="1">
        <v>33204.0</v>
      </c>
      <c r="J73" s="1">
        <v>39869.0</v>
      </c>
      <c r="K73" s="1">
        <v>0.0</v>
      </c>
      <c r="L73" s="3"/>
      <c r="M73" s="3"/>
      <c r="N73" s="3"/>
      <c r="O73" s="3"/>
      <c r="P73" s="3"/>
    </row>
    <row r="74" hidden="1">
      <c r="A74" s="1" t="s">
        <v>16</v>
      </c>
      <c r="B74" s="1" t="s">
        <v>40</v>
      </c>
      <c r="C74" s="1" t="s">
        <v>165</v>
      </c>
      <c r="D74" s="1" t="s">
        <v>166</v>
      </c>
      <c r="E74" s="1" t="s">
        <v>30</v>
      </c>
      <c r="F74" s="1" t="s">
        <v>31</v>
      </c>
      <c r="G74" s="1" t="s">
        <v>20</v>
      </c>
      <c r="H74" s="1">
        <v>533425.0</v>
      </c>
      <c r="I74" s="1">
        <v>482866.0</v>
      </c>
      <c r="J74" s="1">
        <v>50559.0</v>
      </c>
      <c r="K74" s="1">
        <v>4718.0</v>
      </c>
      <c r="L74" s="3"/>
      <c r="M74" s="3"/>
      <c r="N74" s="3"/>
      <c r="O74" s="3"/>
      <c r="P74" s="3"/>
    </row>
    <row r="75" hidden="1">
      <c r="A75" s="1" t="s">
        <v>16</v>
      </c>
      <c r="B75" s="1" t="s">
        <v>40</v>
      </c>
      <c r="C75" s="1" t="s">
        <v>167</v>
      </c>
      <c r="D75" s="1" t="s">
        <v>168</v>
      </c>
      <c r="E75" s="1" t="s">
        <v>30</v>
      </c>
      <c r="F75" s="1" t="s">
        <v>31</v>
      </c>
      <c r="G75" s="1" t="s">
        <v>20</v>
      </c>
      <c r="H75" s="1">
        <v>0.0</v>
      </c>
      <c r="I75" s="1">
        <v>249002.0</v>
      </c>
      <c r="J75" s="1">
        <v>74504.0</v>
      </c>
      <c r="K75" s="1">
        <v>0.0</v>
      </c>
      <c r="L75" s="3"/>
      <c r="M75" s="3"/>
      <c r="N75" s="3"/>
      <c r="O75" s="3"/>
      <c r="P75" s="3"/>
    </row>
    <row r="76" hidden="1">
      <c r="A76" s="1" t="s">
        <v>16</v>
      </c>
      <c r="B76" s="1" t="s">
        <v>40</v>
      </c>
      <c r="C76" s="1" t="s">
        <v>169</v>
      </c>
      <c r="D76" s="1" t="s">
        <v>170</v>
      </c>
      <c r="E76" s="1" t="s">
        <v>30</v>
      </c>
      <c r="F76" s="1" t="s">
        <v>31</v>
      </c>
      <c r="G76" s="1" t="s">
        <v>20</v>
      </c>
      <c r="H76" s="1">
        <v>383869.0</v>
      </c>
      <c r="I76" s="1">
        <v>335141.0</v>
      </c>
      <c r="J76" s="1">
        <v>48728.0</v>
      </c>
      <c r="K76" s="1">
        <v>0.0</v>
      </c>
      <c r="L76" s="3"/>
      <c r="M76" s="3"/>
      <c r="N76" s="3"/>
      <c r="O76" s="3"/>
      <c r="P76" s="3"/>
    </row>
    <row r="77" hidden="1">
      <c r="A77" s="1" t="s">
        <v>16</v>
      </c>
      <c r="B77" s="1" t="s">
        <v>40</v>
      </c>
      <c r="C77" s="1" t="s">
        <v>171</v>
      </c>
      <c r="D77" s="1" t="s">
        <v>172</v>
      </c>
      <c r="E77" s="1" t="s">
        <v>30</v>
      </c>
      <c r="F77" s="1" t="s">
        <v>31</v>
      </c>
      <c r="G77" s="1" t="s">
        <v>20</v>
      </c>
      <c r="H77" s="1">
        <v>1798878.0</v>
      </c>
      <c r="I77" s="1">
        <v>285675.0</v>
      </c>
      <c r="J77" s="1">
        <v>130347.0</v>
      </c>
      <c r="K77" s="1">
        <v>33698.0</v>
      </c>
      <c r="L77" s="3"/>
      <c r="M77" s="3"/>
      <c r="N77" s="3"/>
      <c r="O77" s="3"/>
      <c r="P77" s="3"/>
    </row>
    <row r="78" hidden="1">
      <c r="A78" s="1" t="s">
        <v>16</v>
      </c>
      <c r="B78" s="1" t="s">
        <v>40</v>
      </c>
      <c r="C78" s="1" t="s">
        <v>173</v>
      </c>
      <c r="D78" s="1" t="s">
        <v>174</v>
      </c>
      <c r="E78" s="1" t="s">
        <v>30</v>
      </c>
      <c r="F78" s="1" t="s">
        <v>31</v>
      </c>
      <c r="G78" s="1" t="s">
        <v>20</v>
      </c>
      <c r="H78" s="1">
        <v>1079253.0</v>
      </c>
      <c r="I78" s="1">
        <v>631059.0</v>
      </c>
      <c r="J78" s="1">
        <v>227692.0</v>
      </c>
      <c r="K78" s="1">
        <v>217661.0</v>
      </c>
      <c r="L78" s="3"/>
      <c r="M78" s="3"/>
      <c r="N78" s="3"/>
      <c r="O78" s="3"/>
      <c r="P78" s="3"/>
    </row>
    <row r="79" hidden="1">
      <c r="A79" s="1" t="s">
        <v>16</v>
      </c>
      <c r="B79" s="1" t="s">
        <v>40</v>
      </c>
      <c r="C79" s="1" t="s">
        <v>175</v>
      </c>
      <c r="D79" s="1" t="s">
        <v>176</v>
      </c>
      <c r="E79" s="1" t="s">
        <v>30</v>
      </c>
      <c r="F79" s="1" t="s">
        <v>31</v>
      </c>
      <c r="G79" s="1" t="s">
        <v>20</v>
      </c>
      <c r="H79" s="1">
        <v>901799.0</v>
      </c>
      <c r="I79" s="1">
        <v>734767.0</v>
      </c>
      <c r="J79" s="1">
        <v>167032.0</v>
      </c>
      <c r="K79" s="1">
        <v>0.0</v>
      </c>
      <c r="L79" s="3"/>
      <c r="M79" s="3"/>
      <c r="N79" s="3"/>
      <c r="O79" s="3"/>
      <c r="P79" s="3"/>
    </row>
    <row r="80" hidden="1">
      <c r="A80" s="1" t="s">
        <v>16</v>
      </c>
      <c r="B80" s="1" t="s">
        <v>40</v>
      </c>
      <c r="C80" s="1" t="s">
        <v>177</v>
      </c>
      <c r="D80" s="1" t="s">
        <v>178</v>
      </c>
      <c r="E80" s="1" t="s">
        <v>30</v>
      </c>
      <c r="F80" s="1" t="s">
        <v>31</v>
      </c>
      <c r="G80" s="1" t="s">
        <v>20</v>
      </c>
      <c r="H80" s="1">
        <v>1027920.0</v>
      </c>
      <c r="I80" s="1">
        <v>620515.0</v>
      </c>
      <c r="J80" s="1">
        <v>202800.0</v>
      </c>
      <c r="K80" s="1">
        <v>0.0</v>
      </c>
      <c r="L80" s="3"/>
      <c r="M80" s="3"/>
      <c r="N80" s="3"/>
      <c r="O80" s="3"/>
      <c r="P80" s="3"/>
    </row>
    <row r="81" hidden="1">
      <c r="A81" s="1" t="s">
        <v>16</v>
      </c>
      <c r="B81" s="1" t="s">
        <v>40</v>
      </c>
      <c r="C81" s="1" t="s">
        <v>179</v>
      </c>
      <c r="D81" s="1" t="s">
        <v>180</v>
      </c>
      <c r="E81" s="1" t="s">
        <v>30</v>
      </c>
      <c r="F81" s="1" t="s">
        <v>31</v>
      </c>
      <c r="G81" s="1" t="s">
        <v>20</v>
      </c>
      <c r="H81" s="1">
        <v>556870.0</v>
      </c>
      <c r="I81" s="1">
        <v>418960.0</v>
      </c>
      <c r="J81" s="1">
        <v>229848.0</v>
      </c>
      <c r="K81" s="1">
        <v>0.0</v>
      </c>
      <c r="L81" s="3"/>
      <c r="M81" s="3"/>
      <c r="N81" s="3"/>
      <c r="O81" s="3"/>
      <c r="P81" s="3"/>
    </row>
    <row r="82" hidden="1">
      <c r="A82" s="1" t="s">
        <v>16</v>
      </c>
      <c r="B82" s="1" t="s">
        <v>40</v>
      </c>
      <c r="C82" s="1" t="s">
        <v>181</v>
      </c>
      <c r="D82" s="1" t="s">
        <v>182</v>
      </c>
      <c r="E82" s="1" t="s">
        <v>30</v>
      </c>
      <c r="F82" s="1" t="s">
        <v>31</v>
      </c>
      <c r="G82" s="1" t="s">
        <v>20</v>
      </c>
      <c r="H82" s="1">
        <v>219974.0</v>
      </c>
      <c r="I82" s="1">
        <v>142331.0</v>
      </c>
      <c r="J82" s="1">
        <v>99479.0</v>
      </c>
      <c r="K82" s="1">
        <v>0.0</v>
      </c>
      <c r="L82" s="3"/>
      <c r="M82" s="3"/>
      <c r="N82" s="3"/>
      <c r="O82" s="3"/>
      <c r="P82" s="3"/>
    </row>
    <row r="83" hidden="1">
      <c r="A83" s="1" t="s">
        <v>16</v>
      </c>
      <c r="B83" s="1" t="s">
        <v>40</v>
      </c>
      <c r="C83" s="1" t="s">
        <v>183</v>
      </c>
      <c r="D83" s="1" t="s">
        <v>184</v>
      </c>
      <c r="E83" s="1" t="s">
        <v>30</v>
      </c>
      <c r="F83" s="1" t="s">
        <v>31</v>
      </c>
      <c r="G83" s="1" t="s">
        <v>20</v>
      </c>
      <c r="H83" s="1">
        <v>369416.0</v>
      </c>
      <c r="I83" s="1">
        <v>259086.0</v>
      </c>
      <c r="J83" s="1">
        <v>37174.0</v>
      </c>
      <c r="K83" s="1">
        <v>73156.0</v>
      </c>
      <c r="L83" s="3"/>
      <c r="M83" s="3"/>
      <c r="N83" s="3"/>
      <c r="O83" s="3"/>
      <c r="P83" s="3"/>
    </row>
    <row r="84" hidden="1">
      <c r="A84" s="1" t="s">
        <v>16</v>
      </c>
      <c r="B84" s="1" t="s">
        <v>40</v>
      </c>
      <c r="C84" s="1" t="s">
        <v>185</v>
      </c>
      <c r="D84" s="1" t="s">
        <v>186</v>
      </c>
      <c r="E84" s="1" t="s">
        <v>30</v>
      </c>
      <c r="F84" s="1" t="s">
        <v>31</v>
      </c>
      <c r="G84" s="1" t="s">
        <v>20</v>
      </c>
      <c r="H84" s="1">
        <v>1590926.0</v>
      </c>
      <c r="I84" s="1">
        <v>1543832.0</v>
      </c>
      <c r="J84" s="1">
        <v>0.0</v>
      </c>
      <c r="K84" s="1">
        <v>0.0</v>
      </c>
      <c r="L84" s="3"/>
      <c r="M84" s="3"/>
      <c r="N84" s="3"/>
      <c r="O84" s="3"/>
      <c r="P84" s="3"/>
    </row>
    <row r="85" hidden="1">
      <c r="A85" s="1" t="s">
        <v>16</v>
      </c>
      <c r="B85" s="1" t="s">
        <v>40</v>
      </c>
      <c r="C85" s="1" t="s">
        <v>187</v>
      </c>
      <c r="D85" s="1" t="s">
        <v>188</v>
      </c>
      <c r="E85" s="1" t="s">
        <v>30</v>
      </c>
      <c r="F85" s="1" t="s">
        <v>31</v>
      </c>
      <c r="G85" s="1" t="s">
        <v>20</v>
      </c>
      <c r="H85" s="1">
        <v>1217150.0</v>
      </c>
      <c r="I85" s="1">
        <v>717294.0</v>
      </c>
      <c r="J85" s="1">
        <v>190938.0</v>
      </c>
      <c r="K85" s="1">
        <v>308918.0</v>
      </c>
      <c r="L85" s="3"/>
      <c r="M85" s="3"/>
      <c r="N85" s="3"/>
      <c r="O85" s="3"/>
      <c r="P85" s="3"/>
    </row>
    <row r="86" hidden="1">
      <c r="A86" s="1" t="s">
        <v>16</v>
      </c>
      <c r="B86" s="1" t="s">
        <v>40</v>
      </c>
      <c r="C86" s="1" t="s">
        <v>189</v>
      </c>
      <c r="D86" s="1" t="s">
        <v>190</v>
      </c>
      <c r="E86" s="1" t="s">
        <v>30</v>
      </c>
      <c r="F86" s="1" t="s">
        <v>31</v>
      </c>
      <c r="G86" s="1" t="s">
        <v>20</v>
      </c>
      <c r="H86" s="1">
        <v>933356.0</v>
      </c>
      <c r="I86" s="1">
        <v>803764.0</v>
      </c>
      <c r="J86" s="1">
        <v>15835.0</v>
      </c>
      <c r="K86" s="1">
        <v>113757.0</v>
      </c>
      <c r="L86" s="3"/>
      <c r="M86" s="3"/>
      <c r="N86" s="3"/>
      <c r="O86" s="3"/>
      <c r="P86" s="3"/>
    </row>
    <row r="87" hidden="1">
      <c r="A87" s="1" t="s">
        <v>16</v>
      </c>
      <c r="B87" s="1" t="s">
        <v>40</v>
      </c>
      <c r="C87" s="1" t="s">
        <v>191</v>
      </c>
      <c r="D87" s="1" t="s">
        <v>192</v>
      </c>
      <c r="E87" s="1" t="s">
        <v>32</v>
      </c>
      <c r="F87" s="1" t="s">
        <v>33</v>
      </c>
      <c r="G87" s="1" t="s">
        <v>20</v>
      </c>
      <c r="H87" s="1">
        <v>264867.0</v>
      </c>
      <c r="I87" s="1">
        <v>54836.0</v>
      </c>
      <c r="J87" s="1">
        <v>58401.0</v>
      </c>
      <c r="K87" s="1">
        <v>71500.0</v>
      </c>
      <c r="L87" s="3"/>
      <c r="M87" s="3"/>
      <c r="N87" s="3"/>
      <c r="O87" s="3"/>
      <c r="P87" s="3"/>
    </row>
    <row r="88" hidden="1">
      <c r="A88" s="1" t="s">
        <v>16</v>
      </c>
      <c r="B88" s="1" t="s">
        <v>40</v>
      </c>
      <c r="C88" s="1" t="s">
        <v>193</v>
      </c>
      <c r="D88" s="1" t="s">
        <v>194</v>
      </c>
      <c r="E88" s="1" t="s">
        <v>32</v>
      </c>
      <c r="F88" s="1" t="s">
        <v>33</v>
      </c>
      <c r="G88" s="1" t="s">
        <v>20</v>
      </c>
      <c r="H88" s="1">
        <v>239900.0</v>
      </c>
      <c r="I88" s="1">
        <v>229736.0</v>
      </c>
      <c r="J88" s="1">
        <v>53445.0</v>
      </c>
      <c r="K88" s="1">
        <v>0.0</v>
      </c>
      <c r="L88" s="3"/>
      <c r="M88" s="3"/>
      <c r="N88" s="3"/>
      <c r="O88" s="3"/>
      <c r="P88" s="3"/>
    </row>
    <row r="89" hidden="1">
      <c r="A89" s="1" t="s">
        <v>16</v>
      </c>
      <c r="B89" s="1" t="s">
        <v>40</v>
      </c>
      <c r="C89" s="1" t="s">
        <v>195</v>
      </c>
      <c r="D89" s="1" t="s">
        <v>196</v>
      </c>
      <c r="E89" s="1" t="s">
        <v>32</v>
      </c>
      <c r="F89" s="1" t="s">
        <v>33</v>
      </c>
      <c r="G89" s="1" t="s">
        <v>20</v>
      </c>
      <c r="H89" s="1">
        <v>338329.0</v>
      </c>
      <c r="I89" s="1">
        <v>319799.0</v>
      </c>
      <c r="J89" s="1">
        <v>22363.0</v>
      </c>
      <c r="K89" s="1">
        <v>0.0</v>
      </c>
      <c r="L89" s="3"/>
      <c r="M89" s="3"/>
      <c r="N89" s="3"/>
      <c r="O89" s="3"/>
      <c r="P89" s="3"/>
    </row>
    <row r="90" hidden="1">
      <c r="A90" s="1" t="s">
        <v>16</v>
      </c>
      <c r="B90" s="1" t="s">
        <v>40</v>
      </c>
      <c r="C90" s="1" t="s">
        <v>197</v>
      </c>
      <c r="D90" s="1" t="s">
        <v>198</v>
      </c>
      <c r="E90" s="1" t="s">
        <v>32</v>
      </c>
      <c r="F90" s="1" t="s">
        <v>33</v>
      </c>
      <c r="G90" s="1" t="s">
        <v>20</v>
      </c>
      <c r="H90" s="1">
        <v>411914.0</v>
      </c>
      <c r="I90" s="1">
        <v>426606.0</v>
      </c>
      <c r="J90" s="1">
        <v>48080.0</v>
      </c>
      <c r="K90" s="1">
        <v>0.0</v>
      </c>
      <c r="L90" s="3"/>
      <c r="M90" s="3"/>
      <c r="N90" s="3"/>
      <c r="O90" s="3"/>
      <c r="P90" s="3"/>
    </row>
    <row r="91" hidden="1">
      <c r="A91" s="1" t="s">
        <v>16</v>
      </c>
      <c r="B91" s="1" t="s">
        <v>40</v>
      </c>
      <c r="C91" s="1" t="s">
        <v>199</v>
      </c>
      <c r="D91" s="1" t="s">
        <v>200</v>
      </c>
      <c r="E91" s="1" t="s">
        <v>32</v>
      </c>
      <c r="F91" s="1" t="s">
        <v>33</v>
      </c>
      <c r="G91" s="1" t="s">
        <v>20</v>
      </c>
      <c r="H91" s="1">
        <v>319254.0</v>
      </c>
      <c r="I91" s="1">
        <v>248043.0</v>
      </c>
      <c r="J91" s="1">
        <v>89750.0</v>
      </c>
      <c r="K91" s="1">
        <v>555.0</v>
      </c>
      <c r="L91" s="3"/>
      <c r="M91" s="3"/>
      <c r="N91" s="3"/>
      <c r="O91" s="3"/>
      <c r="P91" s="3"/>
    </row>
    <row r="92" hidden="1">
      <c r="A92" s="1" t="s">
        <v>16</v>
      </c>
      <c r="B92" s="1" t="s">
        <v>40</v>
      </c>
      <c r="C92" s="1" t="s">
        <v>201</v>
      </c>
      <c r="D92" s="1" t="s">
        <v>202</v>
      </c>
      <c r="E92" s="1" t="s">
        <v>32</v>
      </c>
      <c r="F92" s="1" t="s">
        <v>33</v>
      </c>
      <c r="G92" s="1" t="s">
        <v>20</v>
      </c>
      <c r="H92" s="1">
        <v>513306.0</v>
      </c>
      <c r="I92" s="1">
        <v>380040.0</v>
      </c>
      <c r="J92" s="1">
        <v>89732.0</v>
      </c>
      <c r="K92" s="1">
        <v>781.0</v>
      </c>
      <c r="L92" s="3"/>
      <c r="M92" s="3"/>
      <c r="N92" s="3"/>
      <c r="O92" s="3"/>
      <c r="P92" s="3"/>
    </row>
    <row r="93" hidden="1">
      <c r="A93" s="1" t="s">
        <v>16</v>
      </c>
      <c r="B93" s="1" t="s">
        <v>40</v>
      </c>
      <c r="C93" s="1" t="s">
        <v>203</v>
      </c>
      <c r="D93" s="1" t="s">
        <v>204</v>
      </c>
      <c r="E93" s="1" t="s">
        <v>32</v>
      </c>
      <c r="F93" s="1" t="s">
        <v>33</v>
      </c>
      <c r="G93" s="1" t="s">
        <v>20</v>
      </c>
      <c r="H93" s="1">
        <v>2036821.0</v>
      </c>
      <c r="I93" s="1">
        <v>1360046.0</v>
      </c>
      <c r="J93" s="1">
        <v>348216.0</v>
      </c>
      <c r="K93" s="1">
        <v>232393.0</v>
      </c>
      <c r="L93" s="3"/>
      <c r="M93" s="3"/>
      <c r="N93" s="3"/>
      <c r="O93" s="3"/>
      <c r="P93" s="3"/>
    </row>
    <row r="94" hidden="1">
      <c r="A94" s="1" t="s">
        <v>16</v>
      </c>
      <c r="B94" s="1" t="s">
        <v>40</v>
      </c>
      <c r="C94" s="1" t="s">
        <v>205</v>
      </c>
      <c r="D94" s="1" t="s">
        <v>206</v>
      </c>
      <c r="E94" s="1" t="s">
        <v>32</v>
      </c>
      <c r="F94" s="1" t="s">
        <v>33</v>
      </c>
      <c r="G94" s="1" t="s">
        <v>20</v>
      </c>
      <c r="H94" s="1">
        <v>938444.0</v>
      </c>
      <c r="I94" s="1">
        <v>518352.0</v>
      </c>
      <c r="J94" s="1">
        <v>1455141.0</v>
      </c>
      <c r="K94" s="1">
        <v>0.0</v>
      </c>
      <c r="L94" s="3"/>
      <c r="M94" s="3"/>
      <c r="N94" s="3"/>
      <c r="O94" s="3"/>
      <c r="P94" s="3"/>
    </row>
    <row r="95" hidden="1">
      <c r="A95" s="1" t="s">
        <v>16</v>
      </c>
      <c r="B95" s="1" t="s">
        <v>40</v>
      </c>
      <c r="C95" s="1" t="s">
        <v>207</v>
      </c>
      <c r="D95" s="1" t="s">
        <v>208</v>
      </c>
      <c r="E95" s="1" t="s">
        <v>32</v>
      </c>
      <c r="F95" s="1" t="s">
        <v>33</v>
      </c>
      <c r="G95" s="1" t="s">
        <v>20</v>
      </c>
      <c r="H95" s="1">
        <v>1041116.0</v>
      </c>
      <c r="I95" s="1">
        <v>821084.0</v>
      </c>
      <c r="J95" s="1">
        <v>313629.0</v>
      </c>
      <c r="K95" s="1">
        <v>0.0</v>
      </c>
      <c r="L95" s="3"/>
      <c r="M95" s="3"/>
      <c r="N95" s="3"/>
      <c r="O95" s="3"/>
      <c r="P95" s="3"/>
    </row>
    <row r="96" hidden="1">
      <c r="A96" s="1" t="s">
        <v>16</v>
      </c>
      <c r="B96" s="1" t="s">
        <v>40</v>
      </c>
      <c r="C96" s="1" t="s">
        <v>209</v>
      </c>
      <c r="D96" s="1" t="s">
        <v>210</v>
      </c>
      <c r="E96" s="1" t="s">
        <v>32</v>
      </c>
      <c r="F96" s="1" t="s">
        <v>33</v>
      </c>
      <c r="G96" s="1" t="s">
        <v>20</v>
      </c>
      <c r="H96" s="1">
        <v>1877678.0</v>
      </c>
      <c r="I96" s="1">
        <v>1100154.0</v>
      </c>
      <c r="J96" s="1">
        <v>324792.0</v>
      </c>
      <c r="K96" s="1">
        <v>391621.0</v>
      </c>
      <c r="L96" s="3"/>
      <c r="M96" s="3"/>
      <c r="N96" s="3"/>
      <c r="O96" s="3"/>
      <c r="P96" s="3"/>
    </row>
    <row r="97" hidden="1">
      <c r="A97" s="1" t="s">
        <v>16</v>
      </c>
      <c r="B97" s="1" t="s">
        <v>40</v>
      </c>
      <c r="C97" s="1" t="s">
        <v>211</v>
      </c>
      <c r="D97" s="1" t="s">
        <v>212</v>
      </c>
      <c r="E97" s="1" t="s">
        <v>32</v>
      </c>
      <c r="F97" s="1" t="s">
        <v>33</v>
      </c>
      <c r="G97" s="1" t="s">
        <v>20</v>
      </c>
      <c r="H97" s="1">
        <v>1363825.0</v>
      </c>
      <c r="I97" s="1">
        <v>1363825.0</v>
      </c>
      <c r="J97" s="1">
        <v>354108.0</v>
      </c>
      <c r="K97" s="1">
        <v>0.0</v>
      </c>
      <c r="L97" s="3"/>
      <c r="M97" s="3"/>
      <c r="N97" s="3"/>
      <c r="O97" s="3"/>
      <c r="P97" s="3"/>
    </row>
    <row r="98" hidden="1">
      <c r="A98" s="1" t="s">
        <v>16</v>
      </c>
      <c r="B98" s="1" t="s">
        <v>40</v>
      </c>
      <c r="C98" s="1" t="s">
        <v>213</v>
      </c>
      <c r="D98" s="1" t="s">
        <v>214</v>
      </c>
      <c r="E98" s="1" t="s">
        <v>34</v>
      </c>
      <c r="F98" s="1" t="s">
        <v>35</v>
      </c>
      <c r="G98" s="1" t="s">
        <v>20</v>
      </c>
      <c r="H98" s="1">
        <v>78934.0</v>
      </c>
      <c r="I98" s="1">
        <v>55834.0</v>
      </c>
      <c r="J98" s="1">
        <v>23100.0</v>
      </c>
      <c r="K98" s="1">
        <v>0.0</v>
      </c>
      <c r="L98" s="3"/>
      <c r="M98" s="3"/>
      <c r="N98" s="3"/>
      <c r="O98" s="3"/>
      <c r="P98" s="3"/>
    </row>
    <row r="99" hidden="1">
      <c r="A99" s="1" t="s">
        <v>16</v>
      </c>
      <c r="B99" s="1" t="s">
        <v>40</v>
      </c>
      <c r="C99" s="1" t="s">
        <v>215</v>
      </c>
      <c r="D99" s="1" t="s">
        <v>216</v>
      </c>
      <c r="E99" s="1" t="s">
        <v>34</v>
      </c>
      <c r="F99" s="1" t="s">
        <v>35</v>
      </c>
      <c r="G99" s="1" t="s">
        <v>20</v>
      </c>
      <c r="H99" s="1">
        <v>476619.0</v>
      </c>
      <c r="I99" s="1">
        <v>326249.0</v>
      </c>
      <c r="J99" s="1">
        <v>35294.0</v>
      </c>
      <c r="K99" s="1">
        <v>15000.0</v>
      </c>
      <c r="L99" s="3"/>
      <c r="M99" s="3"/>
      <c r="N99" s="3"/>
      <c r="O99" s="3"/>
      <c r="P99" s="3"/>
    </row>
    <row r="100" hidden="1">
      <c r="A100" s="1" t="s">
        <v>16</v>
      </c>
      <c r="B100" s="1" t="s">
        <v>40</v>
      </c>
      <c r="C100" s="1" t="s">
        <v>217</v>
      </c>
      <c r="D100" s="1" t="s">
        <v>218</v>
      </c>
      <c r="E100" s="1" t="s">
        <v>34</v>
      </c>
      <c r="F100" s="1" t="s">
        <v>35</v>
      </c>
      <c r="G100" s="1" t="s">
        <v>20</v>
      </c>
      <c r="H100" s="1">
        <v>672076.0</v>
      </c>
      <c r="I100" s="1">
        <v>497741.0</v>
      </c>
      <c r="J100" s="1">
        <v>122179.0</v>
      </c>
      <c r="K100" s="1">
        <v>62550.0</v>
      </c>
      <c r="L100" s="3"/>
      <c r="M100" s="3"/>
      <c r="N100" s="3"/>
      <c r="O100" s="3"/>
      <c r="P100" s="3"/>
    </row>
    <row r="101" hidden="1">
      <c r="A101" s="1" t="s">
        <v>16</v>
      </c>
      <c r="B101" s="1" t="s">
        <v>40</v>
      </c>
      <c r="C101" s="1" t="s">
        <v>219</v>
      </c>
      <c r="D101" s="1" t="s">
        <v>220</v>
      </c>
      <c r="E101" s="1" t="s">
        <v>34</v>
      </c>
      <c r="F101" s="1" t="s">
        <v>35</v>
      </c>
      <c r="G101" s="1" t="s">
        <v>20</v>
      </c>
      <c r="H101" s="1">
        <v>514187.0</v>
      </c>
      <c r="I101" s="1">
        <v>427560.0</v>
      </c>
      <c r="J101" s="1">
        <v>86627.0</v>
      </c>
      <c r="K101" s="1">
        <v>0.0</v>
      </c>
      <c r="L101" s="3"/>
      <c r="M101" s="3"/>
      <c r="N101" s="3"/>
      <c r="O101" s="3"/>
      <c r="P101" s="3"/>
    </row>
    <row r="102" hidden="1">
      <c r="A102" s="1" t="s">
        <v>16</v>
      </c>
      <c r="B102" s="1" t="s">
        <v>40</v>
      </c>
      <c r="C102" s="1" t="s">
        <v>221</v>
      </c>
      <c r="D102" s="1" t="s">
        <v>222</v>
      </c>
      <c r="E102" s="1" t="s">
        <v>34</v>
      </c>
      <c r="F102" s="1" t="s">
        <v>35</v>
      </c>
      <c r="G102" s="1" t="s">
        <v>20</v>
      </c>
      <c r="H102" s="1">
        <v>369486.0</v>
      </c>
      <c r="I102" s="1">
        <v>103558.0</v>
      </c>
      <c r="J102" s="1">
        <v>0.0</v>
      </c>
      <c r="K102" s="1">
        <v>0.0</v>
      </c>
      <c r="L102" s="3"/>
      <c r="M102" s="3"/>
      <c r="N102" s="3"/>
      <c r="O102" s="3"/>
      <c r="P102" s="3"/>
    </row>
    <row r="103" hidden="1">
      <c r="A103" s="1" t="s">
        <v>16</v>
      </c>
      <c r="B103" s="1" t="s">
        <v>40</v>
      </c>
      <c r="C103" s="1" t="s">
        <v>223</v>
      </c>
      <c r="D103" s="1" t="s">
        <v>224</v>
      </c>
      <c r="E103" s="1" t="s">
        <v>34</v>
      </c>
      <c r="F103" s="1" t="s">
        <v>35</v>
      </c>
      <c r="G103" s="1" t="s">
        <v>20</v>
      </c>
      <c r="H103" s="1">
        <v>512947.0</v>
      </c>
      <c r="I103" s="1">
        <v>442922.0</v>
      </c>
      <c r="J103" s="1">
        <v>70025.0</v>
      </c>
      <c r="K103" s="1">
        <v>31085.0</v>
      </c>
      <c r="L103" s="3"/>
      <c r="M103" s="3"/>
      <c r="N103" s="3"/>
      <c r="O103" s="3"/>
      <c r="P103" s="3"/>
    </row>
    <row r="104" hidden="1">
      <c r="A104" s="1" t="s">
        <v>16</v>
      </c>
      <c r="B104" s="1" t="s">
        <v>40</v>
      </c>
      <c r="C104" s="1" t="s">
        <v>225</v>
      </c>
      <c r="D104" s="1" t="s">
        <v>226</v>
      </c>
      <c r="E104" s="1" t="s">
        <v>34</v>
      </c>
      <c r="F104" s="1" t="s">
        <v>35</v>
      </c>
      <c r="G104" s="1" t="s">
        <v>20</v>
      </c>
      <c r="H104" s="1">
        <v>559957.0</v>
      </c>
      <c r="I104" s="1">
        <v>495619.0</v>
      </c>
      <c r="J104" s="1">
        <v>320399.0</v>
      </c>
      <c r="K104" s="1">
        <v>0.0</v>
      </c>
      <c r="L104" s="3"/>
      <c r="M104" s="3"/>
      <c r="N104" s="3"/>
      <c r="O104" s="3"/>
      <c r="P104" s="3"/>
    </row>
    <row r="105" hidden="1">
      <c r="A105" s="1" t="s">
        <v>16</v>
      </c>
      <c r="B105" s="1" t="s">
        <v>40</v>
      </c>
      <c r="C105" s="1" t="s">
        <v>227</v>
      </c>
      <c r="D105" s="1" t="s">
        <v>228</v>
      </c>
      <c r="E105" s="1" t="s">
        <v>34</v>
      </c>
      <c r="F105" s="1" t="s">
        <v>35</v>
      </c>
      <c r="G105" s="1" t="s">
        <v>20</v>
      </c>
      <c r="H105" s="1">
        <v>0.0</v>
      </c>
      <c r="I105" s="1">
        <v>0.0</v>
      </c>
      <c r="J105" s="1">
        <v>0.0</v>
      </c>
      <c r="K105" s="1">
        <v>0.0</v>
      </c>
      <c r="L105" s="3"/>
      <c r="M105" s="3"/>
      <c r="N105" s="3"/>
      <c r="O105" s="3"/>
      <c r="P105" s="3"/>
    </row>
    <row r="106" hidden="1">
      <c r="A106" s="1" t="s">
        <v>16</v>
      </c>
      <c r="B106" s="1" t="s">
        <v>40</v>
      </c>
      <c r="C106" s="1" t="s">
        <v>229</v>
      </c>
      <c r="D106" s="1" t="s">
        <v>230</v>
      </c>
      <c r="E106" s="1" t="s">
        <v>34</v>
      </c>
      <c r="F106" s="1" t="s">
        <v>35</v>
      </c>
      <c r="G106" s="1" t="s">
        <v>20</v>
      </c>
      <c r="H106" s="1">
        <v>493000.0</v>
      </c>
      <c r="I106" s="1">
        <v>443317.0</v>
      </c>
      <c r="J106" s="1">
        <v>19683.0</v>
      </c>
      <c r="K106" s="1">
        <v>0.0</v>
      </c>
      <c r="L106" s="3"/>
      <c r="M106" s="3"/>
      <c r="N106" s="3"/>
      <c r="O106" s="3"/>
      <c r="P106" s="3"/>
    </row>
    <row r="107" hidden="1">
      <c r="A107" s="1" t="s">
        <v>16</v>
      </c>
      <c r="B107" s="1" t="s">
        <v>40</v>
      </c>
      <c r="C107" s="1" t="s">
        <v>231</v>
      </c>
      <c r="D107" s="1" t="s">
        <v>232</v>
      </c>
      <c r="E107" s="1" t="s">
        <v>34</v>
      </c>
      <c r="F107" s="1" t="s">
        <v>35</v>
      </c>
      <c r="G107" s="1" t="s">
        <v>20</v>
      </c>
      <c r="H107" s="1">
        <v>315000.0</v>
      </c>
      <c r="I107" s="1">
        <v>250693.0</v>
      </c>
      <c r="J107" s="1">
        <v>64307.0</v>
      </c>
      <c r="K107" s="1">
        <v>0.0</v>
      </c>
      <c r="L107" s="3"/>
      <c r="M107" s="3"/>
      <c r="N107" s="3"/>
      <c r="O107" s="3"/>
      <c r="P107" s="3"/>
    </row>
    <row r="108" hidden="1">
      <c r="A108" s="1" t="s">
        <v>16</v>
      </c>
      <c r="B108" s="1" t="s">
        <v>40</v>
      </c>
      <c r="C108" s="1" t="s">
        <v>233</v>
      </c>
      <c r="D108" s="1" t="s">
        <v>234</v>
      </c>
      <c r="E108" s="1" t="s">
        <v>34</v>
      </c>
      <c r="F108" s="1" t="s">
        <v>35</v>
      </c>
      <c r="G108" s="1" t="s">
        <v>20</v>
      </c>
      <c r="H108" s="1">
        <v>377422.0</v>
      </c>
      <c r="I108" s="1">
        <v>260513.0</v>
      </c>
      <c r="J108" s="1">
        <v>116928.0</v>
      </c>
      <c r="K108" s="1">
        <v>1.0</v>
      </c>
      <c r="L108" s="3"/>
      <c r="M108" s="3"/>
      <c r="N108" s="3"/>
      <c r="O108" s="3"/>
      <c r="P108" s="3"/>
    </row>
    <row r="109" hidden="1">
      <c r="A109" s="1" t="s">
        <v>16</v>
      </c>
      <c r="B109" s="1" t="s">
        <v>40</v>
      </c>
      <c r="C109" s="1" t="s">
        <v>235</v>
      </c>
      <c r="D109" s="1" t="s">
        <v>236</v>
      </c>
      <c r="E109" s="1" t="s">
        <v>34</v>
      </c>
      <c r="F109" s="1" t="s">
        <v>35</v>
      </c>
      <c r="G109" s="1" t="s">
        <v>20</v>
      </c>
      <c r="H109" s="1">
        <v>647752.0</v>
      </c>
      <c r="I109" s="1">
        <v>486102.0</v>
      </c>
      <c r="J109" s="1">
        <v>161650.0</v>
      </c>
      <c r="K109" s="1">
        <v>0.0</v>
      </c>
      <c r="L109" s="3"/>
      <c r="M109" s="3"/>
      <c r="N109" s="3"/>
      <c r="O109" s="3"/>
      <c r="P109" s="3"/>
    </row>
    <row r="110" hidden="1">
      <c r="A110" s="1" t="s">
        <v>16</v>
      </c>
      <c r="B110" s="1" t="s">
        <v>40</v>
      </c>
      <c r="C110" s="1" t="s">
        <v>237</v>
      </c>
      <c r="D110" s="1" t="s">
        <v>238</v>
      </c>
      <c r="E110" s="1" t="s">
        <v>34</v>
      </c>
      <c r="F110" s="1" t="s">
        <v>35</v>
      </c>
      <c r="G110" s="1" t="s">
        <v>20</v>
      </c>
      <c r="H110" s="1">
        <v>302673.0</v>
      </c>
      <c r="I110" s="1">
        <v>68486.0</v>
      </c>
      <c r="J110" s="1">
        <v>14488.0</v>
      </c>
      <c r="K110" s="1">
        <v>12346.0</v>
      </c>
      <c r="L110" s="3"/>
      <c r="M110" s="3"/>
      <c r="N110" s="3"/>
      <c r="O110" s="3"/>
      <c r="P110" s="3"/>
    </row>
    <row r="111" hidden="1">
      <c r="A111" s="1" t="s">
        <v>16</v>
      </c>
      <c r="B111" s="1" t="s">
        <v>40</v>
      </c>
      <c r="C111" s="1" t="s">
        <v>239</v>
      </c>
      <c r="D111" s="1" t="s">
        <v>240</v>
      </c>
      <c r="E111" s="1" t="s">
        <v>34</v>
      </c>
      <c r="F111" s="1" t="s">
        <v>35</v>
      </c>
      <c r="G111" s="1" t="s">
        <v>20</v>
      </c>
      <c r="H111" s="1">
        <v>536447.0</v>
      </c>
      <c r="I111" s="1">
        <v>465449.0</v>
      </c>
      <c r="J111" s="1">
        <v>128857.0</v>
      </c>
      <c r="K111" s="1">
        <v>0.0</v>
      </c>
      <c r="L111" s="3"/>
      <c r="M111" s="3"/>
      <c r="N111" s="3"/>
      <c r="O111" s="3"/>
      <c r="P111" s="3"/>
    </row>
    <row r="112" hidden="1">
      <c r="A112" s="1" t="s">
        <v>16</v>
      </c>
      <c r="B112" s="1" t="s">
        <v>40</v>
      </c>
      <c r="C112" s="1" t="s">
        <v>241</v>
      </c>
      <c r="D112" s="1" t="s">
        <v>242</v>
      </c>
      <c r="E112" s="1" t="s">
        <v>34</v>
      </c>
      <c r="F112" s="1" t="s">
        <v>35</v>
      </c>
      <c r="G112" s="1" t="s">
        <v>20</v>
      </c>
      <c r="H112" s="1">
        <v>350978.0</v>
      </c>
      <c r="I112" s="1">
        <v>220369.0</v>
      </c>
      <c r="J112" s="1">
        <v>47403.0</v>
      </c>
      <c r="K112" s="1">
        <v>0.0</v>
      </c>
      <c r="L112" s="3"/>
      <c r="M112" s="3"/>
      <c r="N112" s="3"/>
      <c r="O112" s="3"/>
      <c r="P112" s="3"/>
    </row>
    <row r="113" hidden="1">
      <c r="A113" s="1" t="s">
        <v>16</v>
      </c>
      <c r="B113" s="1" t="s">
        <v>40</v>
      </c>
      <c r="C113" s="1" t="s">
        <v>243</v>
      </c>
      <c r="D113" s="1" t="s">
        <v>244</v>
      </c>
      <c r="E113" s="1" t="s">
        <v>34</v>
      </c>
      <c r="F113" s="1" t="s">
        <v>35</v>
      </c>
      <c r="G113" s="1" t="s">
        <v>20</v>
      </c>
      <c r="H113" s="1">
        <v>351511.0</v>
      </c>
      <c r="I113" s="1">
        <v>262415.0</v>
      </c>
      <c r="J113" s="1">
        <v>39167.0</v>
      </c>
      <c r="K113" s="1">
        <v>49929.0</v>
      </c>
      <c r="L113" s="3"/>
      <c r="M113" s="3"/>
      <c r="N113" s="3"/>
      <c r="O113" s="3"/>
      <c r="P113" s="3"/>
    </row>
    <row r="114" hidden="1">
      <c r="A114" s="1" t="s">
        <v>16</v>
      </c>
      <c r="B114" s="1" t="s">
        <v>40</v>
      </c>
      <c r="C114" s="1" t="s">
        <v>245</v>
      </c>
      <c r="D114" s="1" t="s">
        <v>246</v>
      </c>
      <c r="E114" s="1" t="s">
        <v>34</v>
      </c>
      <c r="F114" s="1" t="s">
        <v>35</v>
      </c>
      <c r="G114" s="1" t="s">
        <v>20</v>
      </c>
      <c r="H114" s="1">
        <v>421147.0</v>
      </c>
      <c r="I114" s="1">
        <v>325347.0</v>
      </c>
      <c r="J114" s="1">
        <v>95800.0</v>
      </c>
      <c r="K114" s="1">
        <v>0.0</v>
      </c>
      <c r="L114" s="3"/>
      <c r="M114" s="3"/>
      <c r="N114" s="3"/>
      <c r="O114" s="3"/>
      <c r="P114" s="3"/>
    </row>
    <row r="115" hidden="1">
      <c r="A115" s="1" t="s">
        <v>16</v>
      </c>
      <c r="B115" s="1" t="s">
        <v>40</v>
      </c>
      <c r="C115" s="1" t="s">
        <v>247</v>
      </c>
      <c r="D115" s="1" t="s">
        <v>248</v>
      </c>
      <c r="E115" s="1" t="s">
        <v>34</v>
      </c>
      <c r="F115" s="1" t="s">
        <v>35</v>
      </c>
      <c r="G115" s="1" t="s">
        <v>20</v>
      </c>
      <c r="H115" s="1">
        <v>860750.0</v>
      </c>
      <c r="I115" s="1">
        <v>415016.0</v>
      </c>
      <c r="J115" s="1">
        <v>103079.0</v>
      </c>
      <c r="K115" s="1">
        <v>342655.0</v>
      </c>
      <c r="L115" s="3"/>
      <c r="M115" s="3"/>
      <c r="N115" s="3"/>
      <c r="O115" s="3"/>
      <c r="P115" s="3"/>
    </row>
    <row r="116" hidden="1">
      <c r="A116" s="1" t="s">
        <v>16</v>
      </c>
      <c r="B116" s="1" t="s">
        <v>40</v>
      </c>
      <c r="C116" s="1" t="s">
        <v>249</v>
      </c>
      <c r="D116" s="1" t="s">
        <v>250</v>
      </c>
      <c r="E116" s="1" t="s">
        <v>34</v>
      </c>
      <c r="F116" s="1" t="s">
        <v>35</v>
      </c>
      <c r="G116" s="1" t="s">
        <v>20</v>
      </c>
      <c r="H116" s="1">
        <v>924002.0</v>
      </c>
      <c r="I116" s="1">
        <v>431767.0</v>
      </c>
      <c r="J116" s="1">
        <v>435481.0</v>
      </c>
      <c r="K116" s="1">
        <v>114898.0</v>
      </c>
      <c r="L116" s="3"/>
      <c r="M116" s="3"/>
      <c r="N116" s="3"/>
      <c r="O116" s="3"/>
      <c r="P116" s="3"/>
    </row>
    <row r="117" hidden="1">
      <c r="A117" s="1" t="s">
        <v>16</v>
      </c>
      <c r="B117" s="1" t="s">
        <v>40</v>
      </c>
      <c r="C117" s="1" t="s">
        <v>251</v>
      </c>
      <c r="D117" s="1" t="s">
        <v>252</v>
      </c>
      <c r="E117" s="1" t="s">
        <v>34</v>
      </c>
      <c r="F117" s="1" t="s">
        <v>35</v>
      </c>
      <c r="G117" s="1" t="s">
        <v>20</v>
      </c>
      <c r="H117" s="1">
        <v>0.0</v>
      </c>
      <c r="I117" s="1">
        <v>650137.0</v>
      </c>
      <c r="J117" s="1">
        <v>82688.0</v>
      </c>
      <c r="K117" s="1">
        <v>0.0</v>
      </c>
      <c r="L117" s="3"/>
      <c r="M117" s="3"/>
      <c r="N117" s="3"/>
      <c r="O117" s="3"/>
      <c r="P117" s="3"/>
    </row>
    <row r="118" hidden="1">
      <c r="A118" s="1" t="s">
        <v>16</v>
      </c>
      <c r="B118" s="1" t="s">
        <v>40</v>
      </c>
      <c r="C118" s="1" t="s">
        <v>253</v>
      </c>
      <c r="D118" s="1" t="s">
        <v>254</v>
      </c>
      <c r="E118" s="1" t="s">
        <v>34</v>
      </c>
      <c r="F118" s="1" t="s">
        <v>35</v>
      </c>
      <c r="G118" s="1" t="s">
        <v>20</v>
      </c>
      <c r="H118" s="1">
        <v>240000.0</v>
      </c>
      <c r="I118" s="1">
        <v>209860.0</v>
      </c>
      <c r="J118" s="1">
        <v>30140.0</v>
      </c>
      <c r="K118" s="1">
        <v>0.0</v>
      </c>
      <c r="L118" s="3"/>
      <c r="M118" s="3"/>
      <c r="N118" s="3"/>
      <c r="O118" s="3"/>
      <c r="P118" s="3"/>
    </row>
    <row r="119" hidden="1">
      <c r="A119" s="1" t="s">
        <v>16</v>
      </c>
      <c r="B119" s="1" t="s">
        <v>40</v>
      </c>
      <c r="C119" s="1" t="s">
        <v>255</v>
      </c>
      <c r="D119" s="1" t="s">
        <v>256</v>
      </c>
      <c r="E119" s="1" t="s">
        <v>34</v>
      </c>
      <c r="F119" s="1" t="s">
        <v>35</v>
      </c>
      <c r="G119" s="1" t="s">
        <v>20</v>
      </c>
      <c r="H119" s="1">
        <v>1028169.0</v>
      </c>
      <c r="I119" s="1">
        <v>823057.0</v>
      </c>
      <c r="J119" s="1">
        <v>190504.0</v>
      </c>
      <c r="K119" s="1">
        <v>0.0</v>
      </c>
      <c r="L119" s="3"/>
      <c r="M119" s="3"/>
      <c r="N119" s="3"/>
      <c r="O119" s="3"/>
      <c r="P119" s="3"/>
    </row>
    <row r="120" hidden="1">
      <c r="A120" s="1" t="s">
        <v>16</v>
      </c>
      <c r="B120" s="1" t="s">
        <v>40</v>
      </c>
      <c r="C120" s="1" t="s">
        <v>257</v>
      </c>
      <c r="D120" s="1" t="s">
        <v>258</v>
      </c>
      <c r="E120" s="1" t="s">
        <v>34</v>
      </c>
      <c r="F120" s="1" t="s">
        <v>35</v>
      </c>
      <c r="G120" s="1" t="s">
        <v>20</v>
      </c>
      <c r="H120" s="1">
        <v>760296.0</v>
      </c>
      <c r="I120" s="1">
        <v>717382.0</v>
      </c>
      <c r="J120" s="1">
        <v>268226.0</v>
      </c>
      <c r="K120" s="1">
        <v>42914.0</v>
      </c>
      <c r="L120" s="3"/>
      <c r="M120" s="3"/>
      <c r="N120" s="3"/>
      <c r="O120" s="3"/>
      <c r="P120" s="3"/>
    </row>
    <row r="121" hidden="1">
      <c r="A121" s="1" t="s">
        <v>16</v>
      </c>
      <c r="B121" s="1" t="s">
        <v>40</v>
      </c>
      <c r="C121" s="1" t="s">
        <v>259</v>
      </c>
      <c r="D121" s="1" t="s">
        <v>260</v>
      </c>
      <c r="E121" s="1" t="s">
        <v>34</v>
      </c>
      <c r="F121" s="1" t="s">
        <v>35</v>
      </c>
      <c r="G121" s="1" t="s">
        <v>20</v>
      </c>
      <c r="H121" s="1">
        <v>289119.0</v>
      </c>
      <c r="I121" s="1">
        <v>161365.0</v>
      </c>
      <c r="J121" s="1">
        <v>127754.0</v>
      </c>
      <c r="K121" s="1">
        <v>0.0</v>
      </c>
      <c r="L121" s="3"/>
      <c r="M121" s="3"/>
      <c r="N121" s="3"/>
      <c r="O121" s="3"/>
      <c r="P121" s="3"/>
    </row>
    <row r="122" hidden="1">
      <c r="A122" s="1" t="s">
        <v>16</v>
      </c>
      <c r="B122" s="1" t="s">
        <v>40</v>
      </c>
      <c r="C122" s="1" t="s">
        <v>261</v>
      </c>
      <c r="D122" s="1" t="s">
        <v>262</v>
      </c>
      <c r="E122" s="1" t="s">
        <v>34</v>
      </c>
      <c r="F122" s="1" t="s">
        <v>35</v>
      </c>
      <c r="G122" s="1" t="s">
        <v>20</v>
      </c>
      <c r="H122" s="1">
        <v>497323.0</v>
      </c>
      <c r="I122" s="1">
        <v>432235.0</v>
      </c>
      <c r="J122" s="1">
        <v>65087.0</v>
      </c>
      <c r="K122" s="1">
        <v>0.0</v>
      </c>
      <c r="L122" s="3"/>
      <c r="M122" s="3"/>
      <c r="N122" s="3"/>
      <c r="O122" s="3"/>
      <c r="P122" s="3"/>
    </row>
    <row r="123" hidden="1">
      <c r="A123" s="1" t="s">
        <v>16</v>
      </c>
      <c r="B123" s="1" t="s">
        <v>40</v>
      </c>
      <c r="C123" s="1" t="s">
        <v>263</v>
      </c>
      <c r="D123" s="1" t="s">
        <v>264</v>
      </c>
      <c r="E123" s="1" t="s">
        <v>34</v>
      </c>
      <c r="F123" s="1" t="s">
        <v>35</v>
      </c>
      <c r="G123" s="1" t="s">
        <v>20</v>
      </c>
      <c r="H123" s="1">
        <v>689861.0</v>
      </c>
      <c r="I123" s="1">
        <v>502098.0</v>
      </c>
      <c r="J123" s="1">
        <v>130000.0</v>
      </c>
      <c r="K123" s="1">
        <v>57763.0</v>
      </c>
      <c r="L123" s="3"/>
      <c r="M123" s="3"/>
      <c r="N123" s="3"/>
      <c r="O123" s="3"/>
      <c r="P123" s="3"/>
    </row>
    <row r="124" hidden="1">
      <c r="A124" s="1" t="s">
        <v>16</v>
      </c>
      <c r="B124" s="1" t="s">
        <v>40</v>
      </c>
      <c r="C124" s="1" t="s">
        <v>265</v>
      </c>
      <c r="D124" s="1" t="s">
        <v>266</v>
      </c>
      <c r="E124" s="1" t="s">
        <v>34</v>
      </c>
      <c r="F124" s="1" t="s">
        <v>35</v>
      </c>
      <c r="G124" s="1" t="s">
        <v>20</v>
      </c>
      <c r="H124" s="1">
        <v>114300.0</v>
      </c>
      <c r="I124" s="1">
        <v>76659.0</v>
      </c>
      <c r="J124" s="1">
        <v>284.0</v>
      </c>
      <c r="K124" s="1">
        <v>0.0</v>
      </c>
      <c r="L124" s="3"/>
      <c r="M124" s="3"/>
      <c r="N124" s="3"/>
      <c r="O124" s="3"/>
      <c r="P124" s="3"/>
    </row>
    <row r="125" hidden="1">
      <c r="A125" s="1" t="s">
        <v>16</v>
      </c>
      <c r="B125" s="1" t="s">
        <v>40</v>
      </c>
      <c r="C125" s="1" t="s">
        <v>267</v>
      </c>
      <c r="D125" s="1" t="s">
        <v>268</v>
      </c>
      <c r="E125" s="1" t="s">
        <v>34</v>
      </c>
      <c r="F125" s="1" t="s">
        <v>35</v>
      </c>
      <c r="G125" s="1" t="s">
        <v>20</v>
      </c>
      <c r="H125" s="1">
        <v>571223.0</v>
      </c>
      <c r="I125" s="1">
        <v>460031.0</v>
      </c>
      <c r="J125" s="1">
        <v>109710.0</v>
      </c>
      <c r="K125" s="1">
        <v>0.0</v>
      </c>
      <c r="L125" s="3"/>
      <c r="M125" s="3"/>
      <c r="N125" s="3"/>
      <c r="O125" s="3"/>
      <c r="P125" s="3"/>
    </row>
    <row r="126" hidden="1">
      <c r="A126" s="1" t="s">
        <v>16</v>
      </c>
      <c r="B126" s="1" t="s">
        <v>40</v>
      </c>
      <c r="C126" s="1" t="s">
        <v>269</v>
      </c>
      <c r="D126" s="1" t="s">
        <v>270</v>
      </c>
      <c r="E126" s="1" t="s">
        <v>34</v>
      </c>
      <c r="F126" s="1" t="s">
        <v>35</v>
      </c>
      <c r="G126" s="1" t="s">
        <v>20</v>
      </c>
      <c r="H126" s="1">
        <v>201924.0</v>
      </c>
      <c r="I126" s="1">
        <v>97448.0</v>
      </c>
      <c r="J126" s="1">
        <v>40488.0</v>
      </c>
      <c r="K126" s="1">
        <v>64343.0</v>
      </c>
      <c r="L126" s="3"/>
      <c r="M126" s="3"/>
      <c r="N126" s="3"/>
      <c r="O126" s="3"/>
      <c r="P126" s="3"/>
    </row>
    <row r="127" hidden="1">
      <c r="A127" s="1" t="s">
        <v>16</v>
      </c>
      <c r="B127" s="1" t="s">
        <v>40</v>
      </c>
      <c r="C127" s="1" t="s">
        <v>271</v>
      </c>
      <c r="D127" s="1" t="s">
        <v>272</v>
      </c>
      <c r="E127" s="1" t="s">
        <v>34</v>
      </c>
      <c r="F127" s="1" t="s">
        <v>35</v>
      </c>
      <c r="G127" s="1" t="s">
        <v>20</v>
      </c>
      <c r="H127" s="1">
        <v>745209.0</v>
      </c>
      <c r="I127" s="1">
        <v>655338.0</v>
      </c>
      <c r="J127" s="1">
        <v>90754.0</v>
      </c>
      <c r="K127" s="1">
        <v>0.0</v>
      </c>
      <c r="L127" s="3"/>
      <c r="M127" s="3"/>
      <c r="N127" s="3"/>
      <c r="O127" s="3"/>
      <c r="P127" s="3"/>
    </row>
    <row r="128" hidden="1">
      <c r="A128" s="1" t="s">
        <v>16</v>
      </c>
      <c r="B128" s="1" t="s">
        <v>40</v>
      </c>
      <c r="C128" s="1" t="s">
        <v>273</v>
      </c>
      <c r="D128" s="1" t="s">
        <v>274</v>
      </c>
      <c r="E128" s="1" t="s">
        <v>34</v>
      </c>
      <c r="F128" s="1" t="s">
        <v>35</v>
      </c>
      <c r="G128" s="1" t="s">
        <v>20</v>
      </c>
      <c r="H128" s="1">
        <v>453526.0</v>
      </c>
      <c r="I128" s="1">
        <v>370943.0</v>
      </c>
      <c r="J128" s="1">
        <v>82583.0</v>
      </c>
      <c r="K128" s="1">
        <v>0.0</v>
      </c>
      <c r="L128" s="3"/>
      <c r="M128" s="3"/>
      <c r="N128" s="3"/>
      <c r="O128" s="3"/>
      <c r="P128" s="3"/>
    </row>
    <row r="129" hidden="1">
      <c r="A129" s="1" t="s">
        <v>16</v>
      </c>
      <c r="B129" s="1" t="s">
        <v>40</v>
      </c>
      <c r="C129" s="1" t="s">
        <v>275</v>
      </c>
      <c r="D129" s="1" t="s">
        <v>276</v>
      </c>
      <c r="E129" s="1" t="s">
        <v>34</v>
      </c>
      <c r="F129" s="1" t="s">
        <v>35</v>
      </c>
      <c r="G129" s="1" t="s">
        <v>20</v>
      </c>
      <c r="H129" s="1">
        <v>142400.0</v>
      </c>
      <c r="I129" s="1">
        <v>88004.0</v>
      </c>
      <c r="J129" s="1">
        <v>29535.0</v>
      </c>
      <c r="K129" s="1">
        <v>0.0</v>
      </c>
      <c r="L129" s="3"/>
      <c r="M129" s="3"/>
      <c r="N129" s="3"/>
      <c r="O129" s="3"/>
      <c r="P129" s="3"/>
    </row>
    <row r="130" hidden="1">
      <c r="A130" s="1" t="s">
        <v>16</v>
      </c>
      <c r="B130" s="1" t="s">
        <v>40</v>
      </c>
      <c r="C130" s="1" t="s">
        <v>277</v>
      </c>
      <c r="D130" s="1" t="s">
        <v>278</v>
      </c>
      <c r="E130" s="1" t="s">
        <v>34</v>
      </c>
      <c r="F130" s="1" t="s">
        <v>35</v>
      </c>
      <c r="G130" s="1" t="s">
        <v>20</v>
      </c>
      <c r="H130" s="1">
        <v>0.0</v>
      </c>
      <c r="I130" s="1">
        <v>750177.0</v>
      </c>
      <c r="J130" s="1">
        <v>141534.0</v>
      </c>
      <c r="K130" s="1">
        <v>0.0</v>
      </c>
      <c r="L130" s="3"/>
      <c r="M130" s="3"/>
      <c r="N130" s="3"/>
      <c r="O130" s="3"/>
      <c r="P130" s="3"/>
    </row>
    <row r="131" hidden="1">
      <c r="A131" s="1" t="s">
        <v>16</v>
      </c>
      <c r="B131" s="1" t="s">
        <v>40</v>
      </c>
      <c r="C131" s="1" t="s">
        <v>279</v>
      </c>
      <c r="D131" s="1" t="s">
        <v>280</v>
      </c>
      <c r="E131" s="1" t="s">
        <v>36</v>
      </c>
      <c r="F131" s="1" t="s">
        <v>37</v>
      </c>
      <c r="G131" s="1" t="s">
        <v>20</v>
      </c>
      <c r="H131" s="1">
        <v>788904.0</v>
      </c>
      <c r="I131" s="1">
        <v>680601.0</v>
      </c>
      <c r="J131" s="1">
        <v>144973.0</v>
      </c>
      <c r="K131" s="1">
        <v>32667.0</v>
      </c>
      <c r="L131" s="3"/>
      <c r="M131" s="3"/>
      <c r="N131" s="3"/>
      <c r="O131" s="3"/>
      <c r="P131" s="3"/>
    </row>
    <row r="132" hidden="1">
      <c r="A132" s="1" t="s">
        <v>16</v>
      </c>
      <c r="B132" s="1" t="s">
        <v>40</v>
      </c>
      <c r="C132" s="1" t="s">
        <v>281</v>
      </c>
      <c r="D132" s="1" t="s">
        <v>282</v>
      </c>
      <c r="E132" s="1" t="s">
        <v>36</v>
      </c>
      <c r="F132" s="1" t="s">
        <v>37</v>
      </c>
      <c r="G132" s="1" t="s">
        <v>20</v>
      </c>
      <c r="H132" s="1">
        <v>108000.0</v>
      </c>
      <c r="I132" s="1">
        <v>86174.0</v>
      </c>
      <c r="J132" s="1">
        <v>21826.0</v>
      </c>
      <c r="K132" s="1">
        <v>0.0</v>
      </c>
      <c r="L132" s="3"/>
      <c r="M132" s="3"/>
      <c r="N132" s="3"/>
      <c r="O132" s="3"/>
      <c r="P132" s="3"/>
    </row>
    <row r="133" hidden="1">
      <c r="A133" s="1" t="s">
        <v>16</v>
      </c>
      <c r="B133" s="1" t="s">
        <v>40</v>
      </c>
      <c r="C133" s="1" t="s">
        <v>283</v>
      </c>
      <c r="D133" s="1" t="s">
        <v>284</v>
      </c>
      <c r="E133" s="1" t="s">
        <v>36</v>
      </c>
      <c r="F133" s="1" t="s">
        <v>37</v>
      </c>
      <c r="G133" s="1" t="s">
        <v>20</v>
      </c>
      <c r="H133" s="1">
        <v>227332.0</v>
      </c>
      <c r="I133" s="1">
        <v>227332.0</v>
      </c>
      <c r="J133" s="1">
        <v>0.0</v>
      </c>
      <c r="K133" s="1">
        <v>0.0</v>
      </c>
      <c r="L133" s="3"/>
      <c r="M133" s="3"/>
      <c r="N133" s="3"/>
      <c r="O133" s="3"/>
      <c r="P133" s="3"/>
    </row>
    <row r="134" hidden="1">
      <c r="A134" s="1" t="s">
        <v>16</v>
      </c>
      <c r="B134" s="1" t="s">
        <v>40</v>
      </c>
      <c r="C134" s="1" t="s">
        <v>285</v>
      </c>
      <c r="D134" s="1" t="s">
        <v>286</v>
      </c>
      <c r="E134" s="1" t="s">
        <v>36</v>
      </c>
      <c r="F134" s="1" t="s">
        <v>37</v>
      </c>
      <c r="G134" s="1" t="s">
        <v>20</v>
      </c>
      <c r="H134" s="1">
        <v>227500.0</v>
      </c>
      <c r="I134" s="1">
        <v>222500.0</v>
      </c>
      <c r="J134" s="1">
        <v>0.0</v>
      </c>
      <c r="K134" s="1">
        <v>1817.0</v>
      </c>
      <c r="L134" s="3"/>
      <c r="M134" s="3"/>
      <c r="N134" s="3"/>
      <c r="O134" s="3"/>
      <c r="P134" s="3"/>
    </row>
    <row r="135" hidden="1">
      <c r="A135" s="1" t="s">
        <v>16</v>
      </c>
      <c r="B135" s="1" t="s">
        <v>40</v>
      </c>
      <c r="C135" s="1" t="s">
        <v>287</v>
      </c>
      <c r="D135" s="1" t="s">
        <v>288</v>
      </c>
      <c r="E135" s="1" t="s">
        <v>36</v>
      </c>
      <c r="F135" s="1" t="s">
        <v>37</v>
      </c>
      <c r="G135" s="1" t="s">
        <v>20</v>
      </c>
      <c r="H135" s="1">
        <v>245000.0</v>
      </c>
      <c r="I135" s="1">
        <v>203384.0</v>
      </c>
      <c r="J135" s="1">
        <v>41616.0</v>
      </c>
      <c r="K135" s="1">
        <v>0.0</v>
      </c>
      <c r="L135" s="3"/>
      <c r="M135" s="3"/>
      <c r="N135" s="3"/>
      <c r="O135" s="3"/>
      <c r="P135" s="3"/>
    </row>
    <row r="136" hidden="1">
      <c r="A136" s="1" t="s">
        <v>16</v>
      </c>
      <c r="B136" s="1" t="s">
        <v>40</v>
      </c>
      <c r="C136" s="1" t="s">
        <v>289</v>
      </c>
      <c r="D136" s="1" t="s">
        <v>290</v>
      </c>
      <c r="E136" s="1" t="s">
        <v>36</v>
      </c>
      <c r="F136" s="1" t="s">
        <v>37</v>
      </c>
      <c r="G136" s="1" t="s">
        <v>20</v>
      </c>
      <c r="H136" s="1">
        <v>209012.0</v>
      </c>
      <c r="I136" s="1">
        <v>173194.0</v>
      </c>
      <c r="J136" s="1">
        <v>34809.0</v>
      </c>
      <c r="K136" s="1">
        <v>0.0</v>
      </c>
      <c r="L136" s="3"/>
      <c r="M136" s="3"/>
      <c r="N136" s="3"/>
      <c r="O136" s="3"/>
      <c r="P136" s="3"/>
    </row>
    <row r="137" hidden="1">
      <c r="A137" s="1" t="s">
        <v>16</v>
      </c>
      <c r="B137" s="1" t="s">
        <v>40</v>
      </c>
      <c r="C137" s="1" t="s">
        <v>291</v>
      </c>
      <c r="D137" s="1" t="s">
        <v>292</v>
      </c>
      <c r="E137" s="1" t="s">
        <v>36</v>
      </c>
      <c r="F137" s="1" t="s">
        <v>37</v>
      </c>
      <c r="G137" s="1" t="s">
        <v>20</v>
      </c>
      <c r="H137" s="1">
        <v>195004.0</v>
      </c>
      <c r="I137" s="1">
        <v>194090.0</v>
      </c>
      <c r="J137" s="1">
        <v>0.0</v>
      </c>
      <c r="K137" s="1">
        <v>0.0</v>
      </c>
      <c r="L137" s="3"/>
      <c r="M137" s="3"/>
      <c r="N137" s="3"/>
      <c r="O137" s="3"/>
      <c r="P137" s="3"/>
    </row>
    <row r="138" hidden="1">
      <c r="A138" s="1" t="s">
        <v>16</v>
      </c>
      <c r="B138" s="1" t="s">
        <v>40</v>
      </c>
      <c r="C138" s="1" t="s">
        <v>293</v>
      </c>
      <c r="D138" s="1" t="s">
        <v>294</v>
      </c>
      <c r="E138" s="1" t="s">
        <v>36</v>
      </c>
      <c r="F138" s="1" t="s">
        <v>37</v>
      </c>
      <c r="G138" s="1" t="s">
        <v>20</v>
      </c>
      <c r="H138" s="1">
        <v>627222.0</v>
      </c>
      <c r="I138" s="1">
        <v>353546.0</v>
      </c>
      <c r="J138" s="1">
        <v>171049.0</v>
      </c>
      <c r="K138" s="1">
        <v>726.0</v>
      </c>
      <c r="L138" s="3"/>
      <c r="M138" s="3"/>
      <c r="N138" s="3"/>
      <c r="O138" s="3"/>
      <c r="P138" s="3"/>
    </row>
    <row r="139" hidden="1">
      <c r="A139" s="1" t="s">
        <v>16</v>
      </c>
      <c r="B139" s="1" t="s">
        <v>40</v>
      </c>
      <c r="C139" s="1" t="s">
        <v>295</v>
      </c>
      <c r="D139" s="1" t="s">
        <v>296</v>
      </c>
      <c r="E139" s="1" t="s">
        <v>36</v>
      </c>
      <c r="F139" s="1" t="s">
        <v>37</v>
      </c>
      <c r="G139" s="1" t="s">
        <v>20</v>
      </c>
      <c r="H139" s="1">
        <v>612896.0</v>
      </c>
      <c r="I139" s="1">
        <v>424718.0</v>
      </c>
      <c r="J139" s="1">
        <v>65109.0</v>
      </c>
      <c r="K139" s="1">
        <v>107534.0</v>
      </c>
      <c r="L139" s="3"/>
      <c r="M139" s="3"/>
      <c r="N139" s="3"/>
      <c r="O139" s="3"/>
      <c r="P139" s="3"/>
    </row>
    <row r="140" hidden="1">
      <c r="A140" s="1" t="s">
        <v>16</v>
      </c>
      <c r="B140" s="1" t="s">
        <v>40</v>
      </c>
      <c r="C140" s="1" t="s">
        <v>297</v>
      </c>
      <c r="D140" s="1" t="s">
        <v>298</v>
      </c>
      <c r="E140" s="1" t="s">
        <v>36</v>
      </c>
      <c r="F140" s="1" t="s">
        <v>37</v>
      </c>
      <c r="G140" s="1" t="s">
        <v>20</v>
      </c>
      <c r="H140" s="1">
        <v>874400.0</v>
      </c>
      <c r="I140" s="1">
        <v>787314.0</v>
      </c>
      <c r="J140" s="1">
        <v>73672.0</v>
      </c>
      <c r="K140" s="1">
        <v>54394.0</v>
      </c>
      <c r="L140" s="3"/>
      <c r="M140" s="3"/>
      <c r="N140" s="3"/>
      <c r="O140" s="3"/>
      <c r="P140" s="3"/>
    </row>
    <row r="141" hidden="1">
      <c r="A141" s="1" t="s">
        <v>16</v>
      </c>
      <c r="B141" s="1" t="s">
        <v>40</v>
      </c>
      <c r="C141" s="1" t="s">
        <v>299</v>
      </c>
      <c r="D141" s="1" t="s">
        <v>300</v>
      </c>
      <c r="E141" s="1" t="s">
        <v>36</v>
      </c>
      <c r="F141" s="1" t="s">
        <v>37</v>
      </c>
      <c r="G141" s="1" t="s">
        <v>20</v>
      </c>
      <c r="H141" s="1">
        <v>731839.0</v>
      </c>
      <c r="I141" s="1">
        <v>541839.0</v>
      </c>
      <c r="J141" s="1">
        <v>190000.0</v>
      </c>
      <c r="K141" s="1">
        <v>0.0</v>
      </c>
      <c r="L141" s="3"/>
      <c r="M141" s="3"/>
      <c r="N141" s="3"/>
      <c r="O141" s="3"/>
      <c r="P141" s="3"/>
    </row>
    <row r="142" hidden="1">
      <c r="A142" s="1" t="s">
        <v>16</v>
      </c>
      <c r="B142" s="1" t="s">
        <v>40</v>
      </c>
      <c r="C142" s="1" t="s">
        <v>301</v>
      </c>
      <c r="D142" s="1" t="s">
        <v>302</v>
      </c>
      <c r="E142" s="1" t="s">
        <v>36</v>
      </c>
      <c r="F142" s="1" t="s">
        <v>37</v>
      </c>
      <c r="G142" s="1" t="s">
        <v>20</v>
      </c>
      <c r="H142" s="1">
        <v>191429.0</v>
      </c>
      <c r="I142" s="1">
        <v>128849.0</v>
      </c>
      <c r="J142" s="1">
        <v>62580.0</v>
      </c>
      <c r="K142" s="1">
        <v>0.0</v>
      </c>
      <c r="L142" s="3"/>
      <c r="M142" s="3"/>
      <c r="N142" s="3"/>
      <c r="O142" s="3"/>
      <c r="P142" s="3"/>
    </row>
    <row r="143" hidden="1">
      <c r="A143" s="1" t="s">
        <v>16</v>
      </c>
      <c r="B143" s="1" t="s">
        <v>40</v>
      </c>
      <c r="C143" s="1" t="s">
        <v>303</v>
      </c>
      <c r="D143" s="1" t="s">
        <v>304</v>
      </c>
      <c r="E143" s="1" t="s">
        <v>36</v>
      </c>
      <c r="F143" s="1" t="s">
        <v>37</v>
      </c>
      <c r="G143" s="1" t="s">
        <v>20</v>
      </c>
      <c r="H143" s="1">
        <v>348360.0</v>
      </c>
      <c r="I143" s="1">
        <v>348360.0</v>
      </c>
      <c r="J143" s="1">
        <v>181671.0</v>
      </c>
      <c r="K143" s="1">
        <v>0.0</v>
      </c>
      <c r="L143" s="3"/>
      <c r="M143" s="3"/>
      <c r="N143" s="3"/>
      <c r="O143" s="3"/>
      <c r="P143" s="3"/>
    </row>
    <row r="144" hidden="1">
      <c r="A144" s="1" t="s">
        <v>16</v>
      </c>
      <c r="B144" s="1" t="s">
        <v>40</v>
      </c>
      <c r="C144" s="1" t="s">
        <v>305</v>
      </c>
      <c r="D144" s="1" t="s">
        <v>306</v>
      </c>
      <c r="E144" s="1" t="s">
        <v>36</v>
      </c>
      <c r="F144" s="1" t="s">
        <v>37</v>
      </c>
      <c r="G144" s="1" t="s">
        <v>20</v>
      </c>
      <c r="H144" s="1">
        <v>700000.0</v>
      </c>
      <c r="I144" s="1">
        <v>700000.0</v>
      </c>
      <c r="J144" s="1">
        <v>188382.0</v>
      </c>
      <c r="K144" s="1">
        <v>0.0</v>
      </c>
      <c r="L144" s="3"/>
      <c r="M144" s="3"/>
      <c r="N144" s="3"/>
      <c r="O144" s="3"/>
      <c r="P144" s="3"/>
    </row>
    <row r="145" hidden="1">
      <c r="A145" s="1" t="s">
        <v>16</v>
      </c>
      <c r="B145" s="1" t="s">
        <v>40</v>
      </c>
      <c r="C145" s="1" t="s">
        <v>307</v>
      </c>
      <c r="D145" s="1" t="s">
        <v>308</v>
      </c>
      <c r="E145" s="1" t="s">
        <v>36</v>
      </c>
      <c r="F145" s="1" t="s">
        <v>37</v>
      </c>
      <c r="G145" s="1" t="s">
        <v>20</v>
      </c>
      <c r="H145" s="1">
        <v>2145123.0</v>
      </c>
      <c r="I145" s="1">
        <v>1636359.0</v>
      </c>
      <c r="J145" s="1">
        <v>508764.0</v>
      </c>
      <c r="K145" s="1">
        <v>0.0</v>
      </c>
      <c r="L145" s="3"/>
      <c r="M145" s="3"/>
      <c r="N145" s="3"/>
      <c r="O145" s="3"/>
      <c r="P145" s="3"/>
    </row>
    <row r="146" hidden="1">
      <c r="A146" s="1" t="s">
        <v>16</v>
      </c>
      <c r="B146" s="1" t="s">
        <v>40</v>
      </c>
      <c r="C146" s="1" t="s">
        <v>309</v>
      </c>
      <c r="D146" s="1" t="s">
        <v>310</v>
      </c>
      <c r="E146" s="1" t="s">
        <v>36</v>
      </c>
      <c r="F146" s="1" t="s">
        <v>37</v>
      </c>
      <c r="G146" s="1" t="s">
        <v>20</v>
      </c>
      <c r="H146" s="1">
        <v>4544832.0</v>
      </c>
      <c r="I146" s="1">
        <v>3348234.0</v>
      </c>
      <c r="J146" s="1">
        <v>925133.0</v>
      </c>
      <c r="K146" s="1">
        <v>206876.0</v>
      </c>
      <c r="L146" s="3"/>
      <c r="M146" s="3"/>
      <c r="N146" s="3"/>
      <c r="O146" s="3"/>
      <c r="P146" s="3"/>
    </row>
    <row r="147" hidden="1">
      <c r="A147" s="1" t="s">
        <v>16</v>
      </c>
      <c r="B147" s="1" t="s">
        <v>40</v>
      </c>
      <c r="C147" s="1" t="s">
        <v>311</v>
      </c>
      <c r="D147" s="1" t="s">
        <v>312</v>
      </c>
      <c r="E147" s="1" t="s">
        <v>36</v>
      </c>
      <c r="F147" s="1" t="s">
        <v>37</v>
      </c>
      <c r="G147" s="1" t="s">
        <v>20</v>
      </c>
      <c r="H147" s="1">
        <v>1152929.0</v>
      </c>
      <c r="I147" s="1">
        <v>797003.0</v>
      </c>
      <c r="J147" s="1">
        <v>217911.0</v>
      </c>
      <c r="K147" s="1">
        <v>115348.0</v>
      </c>
      <c r="L147" s="3"/>
      <c r="M147" s="3"/>
      <c r="N147" s="3"/>
      <c r="O147" s="3"/>
      <c r="P147" s="3"/>
    </row>
    <row r="148" hidden="1">
      <c r="A148" s="1" t="s">
        <v>16</v>
      </c>
      <c r="B148" s="1" t="s">
        <v>40</v>
      </c>
      <c r="C148" s="1" t="s">
        <v>313</v>
      </c>
      <c r="D148" s="1" t="s">
        <v>314</v>
      </c>
      <c r="E148" s="1" t="s">
        <v>36</v>
      </c>
      <c r="F148" s="1" t="s">
        <v>37</v>
      </c>
      <c r="G148" s="1" t="s">
        <v>20</v>
      </c>
      <c r="H148" s="1">
        <v>1508144.0</v>
      </c>
      <c r="I148" s="1">
        <v>1125468.0</v>
      </c>
      <c r="J148" s="1">
        <v>157996.0</v>
      </c>
      <c r="K148" s="1">
        <v>0.0</v>
      </c>
      <c r="L148" s="3"/>
      <c r="M148" s="3"/>
      <c r="N148" s="3"/>
      <c r="O148" s="3"/>
      <c r="P148" s="3"/>
    </row>
    <row r="149">
      <c r="A149" s="1" t="s">
        <v>16</v>
      </c>
      <c r="B149" s="1" t="s">
        <v>40</v>
      </c>
      <c r="C149" s="1" t="s">
        <v>315</v>
      </c>
      <c r="D149" s="1" t="s">
        <v>316</v>
      </c>
      <c r="E149" s="1" t="s">
        <v>36</v>
      </c>
      <c r="F149" s="1" t="s">
        <v>37</v>
      </c>
      <c r="G149" s="1" t="s">
        <v>20</v>
      </c>
      <c r="H149" s="1">
        <v>1556760.0</v>
      </c>
      <c r="I149" s="1">
        <v>769944.0</v>
      </c>
      <c r="J149" s="1">
        <v>0.0</v>
      </c>
      <c r="K149" s="1">
        <v>786816.0</v>
      </c>
      <c r="L149" s="3">
        <f>I149+J149+K149</f>
        <v>1556760</v>
      </c>
      <c r="M149" s="3">
        <f>L149-H149</f>
        <v>0</v>
      </c>
      <c r="N149" s="3">
        <f>(L149/H149)*100</f>
        <v>100</v>
      </c>
      <c r="O149" s="5">
        <v>1803.0</v>
      </c>
      <c r="P149" s="6">
        <f>L149/O149</f>
        <v>863.4276206</v>
      </c>
    </row>
    <row r="150" hidden="1">
      <c r="A150" s="1" t="s">
        <v>16</v>
      </c>
      <c r="B150" s="1" t="s">
        <v>40</v>
      </c>
      <c r="C150" s="1" t="s">
        <v>317</v>
      </c>
      <c r="D150" s="1" t="s">
        <v>318</v>
      </c>
      <c r="E150" s="1" t="s">
        <v>38</v>
      </c>
      <c r="F150" s="1" t="s">
        <v>39</v>
      </c>
      <c r="G150" s="1" t="s">
        <v>20</v>
      </c>
      <c r="H150" s="1">
        <v>505795.0</v>
      </c>
      <c r="I150" s="1">
        <v>505795.0</v>
      </c>
      <c r="J150" s="1">
        <v>53949.0</v>
      </c>
      <c r="K150" s="1">
        <v>4335.0</v>
      </c>
    </row>
    <row r="151" hidden="1">
      <c r="A151" s="1" t="s">
        <v>16</v>
      </c>
      <c r="B151" s="1" t="s">
        <v>40</v>
      </c>
      <c r="C151" s="1" t="s">
        <v>319</v>
      </c>
      <c r="D151" s="1" t="s">
        <v>320</v>
      </c>
      <c r="E151" s="1" t="s">
        <v>38</v>
      </c>
      <c r="F151" s="1" t="s">
        <v>39</v>
      </c>
      <c r="G151" s="1" t="s">
        <v>20</v>
      </c>
      <c r="H151" s="1">
        <v>248500.0</v>
      </c>
      <c r="I151" s="1">
        <v>248500.0</v>
      </c>
      <c r="J151" s="1">
        <v>118129.0</v>
      </c>
      <c r="K151" s="1">
        <v>79517.0</v>
      </c>
    </row>
    <row r="152" hidden="1">
      <c r="A152" s="1" t="s">
        <v>16</v>
      </c>
      <c r="B152" s="1" t="s">
        <v>40</v>
      </c>
      <c r="C152" s="1" t="s">
        <v>321</v>
      </c>
      <c r="D152" s="1" t="s">
        <v>322</v>
      </c>
      <c r="E152" s="1" t="s">
        <v>38</v>
      </c>
      <c r="F152" s="1" t="s">
        <v>39</v>
      </c>
      <c r="G152" s="1" t="s">
        <v>20</v>
      </c>
      <c r="H152" s="1">
        <v>541500.0</v>
      </c>
      <c r="I152" s="1">
        <v>352641.0</v>
      </c>
      <c r="J152" s="1">
        <v>41878.0</v>
      </c>
      <c r="K152" s="1">
        <v>395.0</v>
      </c>
    </row>
    <row r="153" hidden="1">
      <c r="A153" s="1" t="s">
        <v>16</v>
      </c>
      <c r="B153" s="1" t="s">
        <v>40</v>
      </c>
      <c r="C153" s="1" t="s">
        <v>323</v>
      </c>
      <c r="D153" s="1" t="s">
        <v>324</v>
      </c>
      <c r="E153" s="1" t="s">
        <v>38</v>
      </c>
      <c r="F153" s="1" t="s">
        <v>39</v>
      </c>
      <c r="G153" s="1" t="s">
        <v>20</v>
      </c>
      <c r="H153" s="1">
        <v>169770.0</v>
      </c>
      <c r="I153" s="1">
        <v>146995.0</v>
      </c>
      <c r="J153" s="1">
        <v>36544.0</v>
      </c>
      <c r="K153" s="1">
        <v>0.0</v>
      </c>
    </row>
    <row r="154" hidden="1">
      <c r="A154" s="1" t="s">
        <v>16</v>
      </c>
      <c r="B154" s="1" t="s">
        <v>40</v>
      </c>
      <c r="C154" s="1" t="s">
        <v>325</v>
      </c>
      <c r="D154" s="1" t="s">
        <v>326</v>
      </c>
      <c r="E154" s="1" t="s">
        <v>38</v>
      </c>
      <c r="F154" s="1" t="s">
        <v>39</v>
      </c>
      <c r="G154" s="1" t="s">
        <v>20</v>
      </c>
      <c r="H154" s="1">
        <v>750000.0</v>
      </c>
      <c r="I154" s="1">
        <v>816165.0</v>
      </c>
      <c r="J154" s="1">
        <v>168847.0</v>
      </c>
      <c r="K154" s="1">
        <v>88159.0</v>
      </c>
    </row>
    <row r="155" hidden="1">
      <c r="A155" s="1" t="s">
        <v>16</v>
      </c>
      <c r="B155" s="1" t="s">
        <v>40</v>
      </c>
      <c r="C155" s="1" t="s">
        <v>327</v>
      </c>
      <c r="D155" s="1" t="s">
        <v>328</v>
      </c>
      <c r="E155" s="1" t="s">
        <v>38</v>
      </c>
      <c r="F155" s="1" t="s">
        <v>39</v>
      </c>
      <c r="G155" s="1" t="s">
        <v>20</v>
      </c>
      <c r="H155" s="1">
        <v>172716.0</v>
      </c>
      <c r="I155" s="1">
        <v>172716.0</v>
      </c>
      <c r="J155" s="1">
        <v>90010.0</v>
      </c>
      <c r="K155" s="1">
        <v>0.0</v>
      </c>
    </row>
    <row r="156" hidden="1">
      <c r="A156" s="1" t="s">
        <v>16</v>
      </c>
      <c r="B156" s="1" t="s">
        <v>40</v>
      </c>
      <c r="C156" s="1" t="s">
        <v>329</v>
      </c>
      <c r="D156" s="1" t="s">
        <v>330</v>
      </c>
      <c r="E156" s="1" t="s">
        <v>38</v>
      </c>
      <c r="F156" s="1" t="s">
        <v>39</v>
      </c>
      <c r="G156" s="1" t="s">
        <v>20</v>
      </c>
      <c r="H156" s="1">
        <v>352800.0</v>
      </c>
      <c r="I156" s="1">
        <v>38257.0</v>
      </c>
      <c r="J156" s="1">
        <v>117228.0</v>
      </c>
      <c r="K156" s="1">
        <v>78095.0</v>
      </c>
    </row>
    <row r="157" hidden="1">
      <c r="A157" s="1" t="s">
        <v>16</v>
      </c>
      <c r="B157" s="1" t="s">
        <v>40</v>
      </c>
      <c r="C157" s="1" t="s">
        <v>331</v>
      </c>
      <c r="D157" s="1" t="s">
        <v>332</v>
      </c>
      <c r="E157" s="1" t="s">
        <v>38</v>
      </c>
      <c r="F157" s="1" t="s">
        <v>39</v>
      </c>
      <c r="G157" s="1" t="s">
        <v>20</v>
      </c>
      <c r="H157" s="1">
        <v>1232304.0</v>
      </c>
      <c r="I157" s="1">
        <v>1232304.0</v>
      </c>
      <c r="J157" s="1">
        <v>45000.0</v>
      </c>
      <c r="K157" s="1">
        <v>0.0</v>
      </c>
    </row>
    <row r="158" hidden="1">
      <c r="A158" s="1" t="s">
        <v>16</v>
      </c>
      <c r="B158" s="1" t="s">
        <v>40</v>
      </c>
      <c r="C158" s="1" t="s">
        <v>333</v>
      </c>
      <c r="D158" s="1" t="s">
        <v>334</v>
      </c>
      <c r="E158" s="1" t="s">
        <v>38</v>
      </c>
      <c r="F158" s="1" t="s">
        <v>39</v>
      </c>
      <c r="G158" s="1" t="s">
        <v>20</v>
      </c>
      <c r="H158" s="1">
        <v>2854.0</v>
      </c>
      <c r="I158" s="1">
        <v>0.0</v>
      </c>
      <c r="J158" s="1">
        <v>0.0</v>
      </c>
      <c r="K158" s="1">
        <v>0.0</v>
      </c>
    </row>
    <row r="159" hidden="1">
      <c r="A159" s="1" t="s">
        <v>16</v>
      </c>
      <c r="B159" s="1" t="s">
        <v>40</v>
      </c>
      <c r="C159" s="1" t="s">
        <v>335</v>
      </c>
      <c r="D159" s="1" t="s">
        <v>336</v>
      </c>
      <c r="E159" s="1" t="s">
        <v>38</v>
      </c>
      <c r="F159" s="1" t="s">
        <v>39</v>
      </c>
      <c r="G159" s="1" t="s">
        <v>20</v>
      </c>
      <c r="H159" s="1">
        <v>395244.0</v>
      </c>
      <c r="I159" s="1">
        <v>338684.0</v>
      </c>
      <c r="J159" s="1">
        <v>430.0</v>
      </c>
      <c r="K159" s="1">
        <v>553185.0</v>
      </c>
    </row>
    <row r="160" hidden="1">
      <c r="A160" s="1" t="s">
        <v>16</v>
      </c>
      <c r="B160" s="1" t="s">
        <v>40</v>
      </c>
      <c r="C160" s="1" t="s">
        <v>337</v>
      </c>
      <c r="D160" s="1" t="s">
        <v>338</v>
      </c>
      <c r="E160" s="1" t="s">
        <v>38</v>
      </c>
      <c r="F160" s="1" t="s">
        <v>39</v>
      </c>
      <c r="G160" s="1" t="s">
        <v>20</v>
      </c>
      <c r="H160" s="1">
        <v>872878.0</v>
      </c>
      <c r="I160" s="1">
        <v>725204.0</v>
      </c>
      <c r="J160" s="1">
        <v>80958.0</v>
      </c>
      <c r="K160" s="1">
        <v>66716.0</v>
      </c>
    </row>
    <row r="161" hidden="1">
      <c r="A161" s="1" t="s">
        <v>16</v>
      </c>
      <c r="B161" s="1" t="s">
        <v>40</v>
      </c>
      <c r="C161" s="1" t="s">
        <v>339</v>
      </c>
      <c r="D161" s="1" t="s">
        <v>340</v>
      </c>
      <c r="E161" s="1" t="s">
        <v>38</v>
      </c>
      <c r="F161" s="1" t="s">
        <v>39</v>
      </c>
      <c r="G161" s="1" t="s">
        <v>20</v>
      </c>
      <c r="H161" s="1">
        <v>742813.0</v>
      </c>
      <c r="I161" s="1">
        <v>633876.0</v>
      </c>
      <c r="J161" s="1">
        <v>19026.0</v>
      </c>
      <c r="K161" s="1">
        <v>89911.0</v>
      </c>
    </row>
    <row r="162" hidden="1">
      <c r="A162" s="1" t="s">
        <v>16</v>
      </c>
      <c r="B162" s="1" t="s">
        <v>40</v>
      </c>
      <c r="C162" s="1" t="s">
        <v>341</v>
      </c>
      <c r="D162" s="1" t="s">
        <v>342</v>
      </c>
      <c r="E162" s="1" t="s">
        <v>38</v>
      </c>
      <c r="F162" s="1" t="s">
        <v>39</v>
      </c>
      <c r="G162" s="1" t="s">
        <v>20</v>
      </c>
      <c r="H162" s="1">
        <v>1418379.0</v>
      </c>
      <c r="I162" s="1">
        <v>1133244.0</v>
      </c>
      <c r="J162" s="1">
        <v>271305.0</v>
      </c>
      <c r="K162" s="1">
        <v>0.0</v>
      </c>
    </row>
    <row r="163" hidden="1">
      <c r="A163" s="1" t="s">
        <v>16</v>
      </c>
      <c r="B163" s="1" t="s">
        <v>40</v>
      </c>
      <c r="C163" s="1" t="s">
        <v>343</v>
      </c>
      <c r="D163" s="1" t="s">
        <v>344</v>
      </c>
      <c r="E163" s="1" t="s">
        <v>38</v>
      </c>
      <c r="F163" s="1" t="s">
        <v>39</v>
      </c>
      <c r="G163" s="1" t="s">
        <v>20</v>
      </c>
      <c r="H163" s="1">
        <v>1911000.0</v>
      </c>
      <c r="I163" s="1">
        <v>1159560.0</v>
      </c>
      <c r="J163" s="1">
        <v>570964.0</v>
      </c>
      <c r="K163" s="1">
        <v>429599.0</v>
      </c>
    </row>
    <row r="164" hidden="1">
      <c r="A164" s="1" t="s">
        <v>16</v>
      </c>
      <c r="B164" s="1" t="s">
        <v>40</v>
      </c>
      <c r="C164" s="1" t="s">
        <v>345</v>
      </c>
      <c r="D164" s="1" t="s">
        <v>346</v>
      </c>
      <c r="E164" s="1" t="s">
        <v>38</v>
      </c>
      <c r="F164" s="1" t="s">
        <v>39</v>
      </c>
      <c r="G164" s="1" t="s">
        <v>20</v>
      </c>
      <c r="H164" s="1">
        <v>1076863.0</v>
      </c>
      <c r="I164" s="1">
        <v>837505.0</v>
      </c>
      <c r="J164" s="1">
        <v>300914.0</v>
      </c>
      <c r="K164" s="1">
        <v>24572.0</v>
      </c>
    </row>
  </sheetData>
  <autoFilter ref="$A$1:$K$164">
    <filterColumn colId="3">
      <filters>
        <filter val="England"/>
        <filter val="West Sussex"/>
        <filter val="South East"/>
      </filters>
    </filterColumn>
  </autoFilter>
  <drawing r:id="rId1"/>
</worksheet>
</file>